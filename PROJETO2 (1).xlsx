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5594062A-B957-4284-B338-EB8328512111}" xr6:coauthVersionLast="47" xr6:coauthVersionMax="47" xr10:uidLastSave="{00000000-0000-0000-0000-000000000000}"/>
  <bookViews>
    <workbookView xWindow="-108" yWindow="-108" windowWidth="23256" windowHeight="12456" tabRatio="0" firstSheet="2" activeTab="2" xr2:uid="{7EDF0B57-AB46-4D6A-A092-D025119F41D5}"/>
  </bookViews>
  <sheets>
    <sheet name="TITULAR" sheetId="2" r:id="rId1"/>
    <sheet name="INFORMES" sheetId="3" r:id="rId2"/>
    <sheet name="NOTAS" sheetId="4" r:id="rId3"/>
    <sheet name="TABELA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5" l="1"/>
  <c r="G5" i="2" s="1" a="1"/>
  <c r="G5" i="2" s="1"/>
  <c r="C8" i="3"/>
  <c r="H5" i="4" l="1" a="1"/>
  <c r="H5" i="4" s="1"/>
  <c r="G5" i="3" a="1"/>
  <c r="G5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<sst xmlns="http://schemas.openxmlformats.org/spreadsheetml/2006/main" count="111" uniqueCount="95">
  <si>
    <t>NOME</t>
  </si>
  <si>
    <t xml:space="preserve">CPF 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</si>
  <si>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</si>
  <si>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</si>
  <si>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</si>
  <si>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</si>
  <si>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</si>
  <si>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</si>
  <si>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</si>
  <si>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</si>
  <si>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</si>
  <si>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DEPENDENTE CÔNJUGE</t>
  </si>
  <si>
    <t>RESIDENTE NO EXTERIOR</t>
  </si>
  <si>
    <t>HOUVE ALTERAÇÕES DA ENTREGA ANTERIOR</t>
  </si>
  <si>
    <t>Preencha os dados da sua pessoa física abaixo</t>
  </si>
  <si>
    <t>SIM</t>
  </si>
  <si>
    <t>NÃO</t>
  </si>
  <si>
    <t>Rua das Casas</t>
  </si>
  <si>
    <t>Horacio Casias</t>
  </si>
  <si>
    <t>mariana.g@gmail.com</t>
  </si>
  <si>
    <t>1. DADOS DO TÍTULAR</t>
  </si>
  <si>
    <t>Preencha com seus os dados atuais de cada banco</t>
  </si>
  <si>
    <t>BANCO</t>
  </si>
  <si>
    <t>VALOR</t>
  </si>
  <si>
    <t>VALOR ATUAL</t>
  </si>
  <si>
    <t>ANEXO🖇️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</si>
  <si>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</si>
  <si>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</si>
  <si>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</si>
  <si>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</si>
  <si>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</si>
  <si>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</si>
  <si>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</si>
  <si>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</si>
  <si>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</si>
  <si>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</si>
  <si>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</si>
  <si>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</si>
  <si>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</si>
  <si>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</si>
  <si>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</si>
  <si>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</si>
  <si>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</si>
  <si>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</si>
  <si>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</si>
  <si>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</si>
  <si>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</si>
  <si>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</si>
  <si>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</si>
  <si>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</si>
  <si>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</si>
  <si>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</si>
  <si>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</si>
  <si>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</si>
  <si>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</si>
  <si>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</si>
  <si>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</si>
  <si>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</si>
  <si>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</si>
  <si>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</si>
  <si>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</si>
  <si>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</si>
  <si>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</si>
  <si>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</si>
  <si>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</si>
  <si>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</si>
  <si>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</si>
  <si>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</si>
  <si>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</si>
  <si>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</si>
  <si>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</si>
  <si>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</si>
  <si>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</si>
  <si>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</si>
  <si>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</si>
  <si>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</si>
  <si>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</si>
  <si>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BANCOITAU_2025.PDF</t>
  </si>
  <si>
    <t>TOTAL</t>
  </si>
  <si>
    <t>1° Banco</t>
  </si>
  <si>
    <t>2° Banco</t>
  </si>
  <si>
    <t>3° Banco</t>
  </si>
  <si>
    <t>2. INFORMES DE RENDIMENTOS BANCÁRIOS</t>
  </si>
  <si>
    <t>Preencha com todos os valores de entrada mês a mês de receita</t>
  </si>
  <si>
    <t>DATA</t>
  </si>
  <si>
    <t>CATEGORIA</t>
  </si>
  <si>
    <t>ENTRADAS</t>
  </si>
  <si>
    <t>CNPJ</t>
  </si>
  <si>
    <t>3. NOTAS BANCÁRIAS OU EXTRATO DE HOLERITES</t>
  </si>
  <si>
    <t>JOÃO SILVA</t>
  </si>
  <si>
    <t>Rua das Casas 555</t>
  </si>
  <si>
    <t>Data Atual</t>
  </si>
  <si>
    <t>Data Prazo</t>
  </si>
  <si>
    <t>Prazo Entrega DIRPF2026</t>
  </si>
  <si>
    <t>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</si>
</sst>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\ 00000&quot;-&quot;0000"/>
    <numFmt numFmtId="167" formatCode="&quot;(&quot;00&quot;)&quot;\ 0000&quot;-&quot;0000"/>
    <numFmt numFmtId="168" formatCode="&quot;R$&quot;\ #,##0.00"/>
    <numFmt numFmtId="169" formatCode="mmmm\ yyyy"/>
  </numFmts>
  <fonts count="1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5"/>
      <color theme="8"/>
      <name val="Aptos Narrow"/>
      <family val="2"/>
      <scheme val="minor"/>
    </font>
    <font>
      <i/>
      <sz val="11"/>
      <color theme="1" tint="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sz val="12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medium">
        <color theme="2" tint="-9.9948118533890809E-2"/>
      </top>
      <bottom style="medium">
        <color theme="2" tint="-9.9948118533890809E-2"/>
      </bottom>
      <diagonal/>
    </border>
    <border>
      <left/>
      <right/>
      <top/>
      <bottom style="thick">
        <color rgb="FFE17FDA"/>
      </bottom>
      <diagonal/>
    </border>
    <border>
      <left/>
      <right/>
      <top style="thick">
        <color rgb="FFE17FDA"/>
      </top>
      <bottom/>
      <diagonal/>
    </border>
    <border>
      <left style="medium">
        <color rgb="FFE17FDA"/>
      </left>
      <right/>
      <top style="medium">
        <color rgb="FFE17FDA"/>
      </top>
      <bottom/>
      <diagonal/>
    </border>
    <border>
      <left/>
      <right style="medium">
        <color rgb="FFE17FDA"/>
      </right>
      <top style="medium">
        <color rgb="FFE17FDA"/>
      </top>
      <bottom/>
      <diagonal/>
    </border>
    <border>
      <left style="medium">
        <color rgb="FFE17FDA"/>
      </left>
      <right/>
      <top/>
      <bottom style="medium">
        <color rgb="FFE17FDA"/>
      </bottom>
      <diagonal/>
    </border>
    <border>
      <left/>
      <right style="medium">
        <color rgb="FFE17FDA"/>
      </right>
      <top/>
      <bottom style="medium">
        <color rgb="FFE17FDA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30">
    <xf numFmtId="0" fontId="0" fillId="0" borderId="0" xfId="0"/>
    <xf numFmtId="0" fontId="0" fillId="3" borderId="0" xfId="0" applyFill="1"/>
    <xf numFmtId="0" fontId="0" fillId="0" borderId="2" xfId="0" applyBorder="1" applyAlignment="1">
      <alignment horizontal="right"/>
    </xf>
    <xf numFmtId="0" fontId="6" fillId="0" borderId="3" xfId="1" applyFont="1" applyBorder="1"/>
    <xf numFmtId="0" fontId="3" fillId="5" borderId="0" xfId="0" applyFont="1" applyFill="1" applyAlignment="1">
      <alignment horizontal="center"/>
    </xf>
    <xf numFmtId="0" fontId="9" fillId="0" borderId="0" xfId="0" applyFont="1"/>
    <xf numFmtId="0" fontId="2" fillId="2" borderId="2" xfId="2" applyBorder="1" applyAlignment="1" applyProtection="1">
      <alignment horizontal="left"/>
      <protection locked="0"/>
    </xf>
    <xf numFmtId="164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Alignment="1" applyProtection="1">
      <alignment horizontal="left"/>
      <protection locked="0"/>
    </xf>
    <xf numFmtId="165" fontId="2" fillId="2" borderId="2" xfId="2" applyNumberFormat="1" applyBorder="1" applyAlignment="1" applyProtection="1">
      <alignment horizontal="left"/>
      <protection locked="0"/>
    </xf>
    <xf numFmtId="167" fontId="2" fillId="2" borderId="2" xfId="2" applyNumberFormat="1" applyBorder="1" applyAlignment="1" applyProtection="1">
      <alignment horizontal="left"/>
      <protection locked="0"/>
    </xf>
    <xf numFmtId="166" fontId="2" fillId="2" borderId="2" xfId="2" applyNumberFormat="1" applyBorder="1" applyAlignment="1" applyProtection="1">
      <alignment horizontal="left"/>
      <protection locked="0"/>
    </xf>
    <xf numFmtId="0" fontId="8" fillId="2" borderId="2" xfId="3" applyFill="1" applyBorder="1" applyAlignment="1" applyProtection="1">
      <alignment horizontal="left"/>
      <protection locked="0"/>
    </xf>
    <xf numFmtId="169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8" fontId="0" fillId="0" borderId="0" xfId="0" applyNumberFormat="1" applyAlignment="1" applyProtection="1">
      <alignment horizontal="center" vertical="center"/>
      <protection locked="0"/>
    </xf>
    <xf numFmtId="168" fontId="2" fillId="2" borderId="2" xfId="2" applyNumberFormat="1" applyBorder="1" applyAlignment="1" applyProtection="1">
      <alignment horizontal="left"/>
      <protection locked="0"/>
    </xf>
    <xf numFmtId="0" fontId="4" fillId="0" borderId="0" xfId="0" applyFont="1" applyAlignment="1" applyProtection="1">
      <alignment horizontal="center"/>
      <protection locked="0"/>
    </xf>
    <xf numFmtId="14" fontId="0" fillId="0" borderId="0" xfId="0" applyNumberFormat="1"/>
    <xf numFmtId="0" fontId="13" fillId="0" borderId="7" xfId="0" applyFont="1" applyBorder="1"/>
    <xf numFmtId="0" fontId="13" fillId="0" borderId="8" xfId="0" applyFont="1" applyBorder="1"/>
    <xf numFmtId="0" fontId="7" fillId="4" borderId="4" xfId="0" applyFont="1" applyFill="1" applyBorder="1" applyAlignment="1">
      <alignment horizontal="left" vertical="center" indent="4"/>
    </xf>
    <xf numFmtId="0" fontId="10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12" fillId="7" borderId="5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/>
    </xf>
    <xf numFmtId="0" fontId="12" fillId="7" borderId="6" xfId="0" applyFont="1" applyFill="1" applyBorder="1" applyAlignment="1">
      <alignment horizontal="center"/>
    </xf>
    <xf numFmtId="168" fontId="5" fillId="2" borderId="0" xfId="2" applyNumberFormat="1" applyFont="1" applyAlignment="1">
      <alignment horizontal="center"/>
    </xf>
    <xf numFmtId="0" fontId="5" fillId="2" borderId="0" xfId="2" applyFont="1" applyAlignment="1">
      <alignment horizont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7">
    <dxf>
      <numFmt numFmtId="19" formatCode="dd/mm/yyyy"/>
    </dxf>
    <dxf>
      <numFmt numFmtId="19" formatCode="dd/mm/yyyy"/>
    </dxf>
    <dxf>
      <numFmt numFmtId="168" formatCode="&quot;R$&quot;\ #,##0.00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E17FDA"/>
      <color rgb="FFDB67D3"/>
      <color rgb="FFCC3399"/>
      <color rgb="FFFF33CC"/>
      <color rgb="FFD13FC7"/>
      <color rgb="FFD54FCB"/>
      <color rgb="FFC42EB9"/>
      <color rgb="FF9B2593"/>
      <color rgb="FFB41893"/>
      <color rgb="FFD755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7620</xdr:rowOff>
    </xdr:from>
    <xdr:to>
      <xdr:col>1</xdr:col>
      <xdr:colOff>7620</xdr:colOff>
      <xdr:row>2</xdr:row>
      <xdr:rowOff>137160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9EE3010-8878-4861-8CD8-2DD290D2FF09}"/>
            </a:ext>
          </a:extLst>
        </xdr:cNvPr>
        <xdr:cNvSpPr/>
      </xdr:nvSpPr>
      <xdr:spPr>
        <a:xfrm>
          <a:off x="0" y="190500"/>
          <a:ext cx="1943100" cy="3124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i="1">
              <a:gradFill flip="none" rotWithShape="1">
                <a:gsLst>
                  <a:gs pos="79375">
                    <a:srgbClr val="DE70D6">
                      <a:lumMod val="64000"/>
                    </a:srgbClr>
                  </a:gs>
                  <a:gs pos="38113">
                    <a:srgbClr val="DE70D6"/>
                  </a:gs>
                  <a:gs pos="60000">
                    <a:schemeClr val="bg1">
                      <a:lumMod val="95000"/>
                    </a:schemeClr>
                  </a:gs>
                  <a:gs pos="17000">
                    <a:srgbClr val="EFBBEB"/>
                  </a:gs>
                </a:gsLst>
                <a:lin ang="2700000" scaled="1"/>
                <a:tileRect/>
              </a:gradFill>
              <a:latin typeface="Bodoni MT Black" panose="02070A03080606020203" pitchFamily="18" charset="0"/>
            </a:rPr>
            <a:t>WOLF</a:t>
          </a:r>
          <a:r>
            <a:rPr lang="pt-BR" sz="1600" b="1" i="1" baseline="0">
              <a:gradFill>
                <a:gsLst>
                  <a:gs pos="60000">
                    <a:schemeClr val="bg1">
                      <a:lumMod val="95000"/>
                    </a:schemeClr>
                  </a:gs>
                  <a:gs pos="17000">
                    <a:srgbClr val="EFBBEB"/>
                  </a:gs>
                </a:gsLst>
                <a:lin ang="5400000" scaled="1"/>
              </a:gradFill>
              <a:latin typeface="Bodoni MT Black" panose="02070A03080606020203" pitchFamily="18" charset="0"/>
            </a:rPr>
            <a:t> </a:t>
          </a:r>
          <a:r>
            <a:rPr lang="pt-BR" sz="1600" b="1" i="1" baseline="0">
              <a:gradFill flip="none" rotWithShape="1">
                <a:gsLst>
                  <a:gs pos="55000">
                    <a:srgbClr val="EFBBEB">
                      <a:lumMod val="68000"/>
                      <a:lumOff val="32000"/>
                    </a:srgbClr>
                  </a:gs>
                  <a:gs pos="84000">
                    <a:srgbClr val="DE70D6"/>
                  </a:gs>
                  <a:gs pos="0">
                    <a:srgbClr val="EFBBEB"/>
                  </a:gs>
                  <a:gs pos="20000">
                    <a:srgbClr val="DE70D6"/>
                  </a:gs>
                </a:gsLst>
                <a:lin ang="2700000" scaled="1"/>
                <a:tileRect/>
              </a:gradFill>
              <a:latin typeface="Bodoni MT Black" panose="02070A03080606020203" pitchFamily="18" charset="0"/>
            </a:rPr>
            <a:t>APP</a:t>
          </a:r>
          <a:endParaRPr lang="pt-BR" sz="1600" b="1" i="1">
            <a:gradFill flip="none" rotWithShape="1">
              <a:gsLst>
                <a:gs pos="55000">
                  <a:srgbClr val="EFBBEB">
                    <a:lumMod val="68000"/>
                    <a:lumOff val="32000"/>
                  </a:srgbClr>
                </a:gs>
                <a:gs pos="84000">
                  <a:srgbClr val="DE70D6"/>
                </a:gs>
                <a:gs pos="0">
                  <a:srgbClr val="EFBBEB"/>
                </a:gs>
                <a:gs pos="20000">
                  <a:srgbClr val="DE70D6"/>
                </a:gs>
              </a:gsLst>
              <a:lin ang="2700000" scaled="1"/>
              <a:tileRect/>
            </a:gradFill>
            <a:latin typeface="Bodoni MT Black" panose="02070A03080606020203" pitchFamily="18" charset="0"/>
          </a:endParaRPr>
        </a:p>
      </xdr:txBody>
    </xdr:sp>
    <xdr:clientData/>
  </xdr:twoCellAnchor>
  <xdr:twoCellAnchor editAs="absolute">
    <xdr:from>
      <xdr:col>0</xdr:col>
      <xdr:colOff>422910</xdr:colOff>
      <xdr:row>3</xdr:row>
      <xdr:rowOff>53340</xdr:rowOff>
    </xdr:from>
    <xdr:to>
      <xdr:col>0</xdr:col>
      <xdr:colOff>1520190</xdr:colOff>
      <xdr:row>8</xdr:row>
      <xdr:rowOff>144780</xdr:rowOff>
    </xdr:to>
    <xdr:pic>
      <xdr:nvPicPr>
        <xdr:cNvPr id="3" name="Imagem 2" descr="Wolf - Free animals icons">
          <a:extLst>
            <a:ext uri="{FF2B5EF4-FFF2-40B4-BE49-F238E27FC236}">
              <a16:creationId xmlns:a16="http://schemas.microsoft.com/office/drawing/2014/main" id="{ACEB582D-B8C2-4103-858C-CFFA31827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910" y="678180"/>
          <a:ext cx="1097280" cy="1097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210026</xdr:colOff>
      <xdr:row>11</xdr:row>
      <xdr:rowOff>160020</xdr:rowOff>
    </xdr:from>
    <xdr:to>
      <xdr:col>0</xdr:col>
      <xdr:colOff>1836896</xdr:colOff>
      <xdr:row>14</xdr:row>
      <xdr:rowOff>60960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730DDA-0E50-437C-9F3A-78F867E97F0A}"/>
            </a:ext>
          </a:extLst>
        </xdr:cNvPr>
        <xdr:cNvSpPr/>
      </xdr:nvSpPr>
      <xdr:spPr>
        <a:xfrm>
          <a:off x="210026" y="2362200"/>
          <a:ext cx="1626870" cy="472440"/>
        </a:xfrm>
        <a:prstGeom prst="roundRect">
          <a:avLst>
            <a:gd name="adj" fmla="val 45045"/>
          </a:avLst>
        </a:prstGeom>
        <a:gradFill flip="none" rotWithShape="1">
          <a:gsLst>
            <a:gs pos="84000">
              <a:srgbClr val="DB67D3"/>
            </a:gs>
            <a:gs pos="50000">
              <a:srgbClr val="C42EB9">
                <a:alpha val="97255"/>
              </a:srgbClr>
            </a:gs>
            <a:gs pos="16000">
              <a:srgbClr val="D54FCB">
                <a:alpha val="92157"/>
              </a:srgbClr>
            </a:gs>
          </a:gsLst>
          <a:lin ang="81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>
                  <a:lumMod val="9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  <a:r>
            <a:rPr lang="pt-BR" sz="1800" baseline="0">
              <a:solidFill>
                <a:schemeClr val="bg1">
                  <a:lumMod val="95000"/>
                </a:schemeClr>
              </a:solidFill>
              <a:latin typeface="Aptos Narrow" panose="020B0004020202020204" pitchFamily="34" charset="0"/>
            </a:rPr>
            <a:t> </a:t>
          </a:r>
          <a:endParaRPr lang="pt-BR" sz="1800">
            <a:solidFill>
              <a:schemeClr val="bg1">
                <a:lumMod val="9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25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5EAD88F-ED80-442B-8136-617CD5C8AD25}"/>
            </a:ext>
          </a:extLst>
        </xdr:cNvPr>
        <xdr:cNvSpPr/>
      </xdr:nvSpPr>
      <xdr:spPr>
        <a:xfrm>
          <a:off x="0" y="4823460"/>
          <a:ext cx="1935480" cy="1828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85000"/>
                </a:schemeClr>
              </a:solidFill>
            </a:rPr>
            <a:t>Made</a:t>
          </a:r>
          <a:r>
            <a:rPr lang="pt-BR" sz="1100" baseline="0">
              <a:solidFill>
                <a:schemeClr val="bg1">
                  <a:lumMod val="85000"/>
                </a:schemeClr>
              </a:solidFill>
            </a:rPr>
            <a:t> by Mariana</a:t>
          </a:r>
          <a:r>
            <a:rPr lang="pt-BR" sz="1100">
              <a:solidFill>
                <a:schemeClr val="bg1">
                  <a:lumMod val="85000"/>
                </a:schemeClr>
              </a:solidFill>
            </a:rPr>
            <a:t>💜</a:t>
          </a:r>
        </a:p>
      </xdr:txBody>
    </xdr:sp>
    <xdr:clientData/>
  </xdr:twoCellAnchor>
  <xdr:twoCellAnchor editAs="absolute">
    <xdr:from>
      <xdr:col>0</xdr:col>
      <xdr:colOff>282893</xdr:colOff>
      <xdr:row>25</xdr:row>
      <xdr:rowOff>0</xdr:rowOff>
    </xdr:from>
    <xdr:to>
      <xdr:col>0</xdr:col>
      <xdr:colOff>1652588</xdr:colOff>
      <xdr:row>25</xdr:row>
      <xdr:rowOff>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257C11C4-D12A-4D66-8F11-E660C47C2458}"/>
            </a:ext>
          </a:extLst>
        </xdr:cNvPr>
        <xdr:cNvCxnSpPr/>
      </xdr:nvCxnSpPr>
      <xdr:spPr>
        <a:xfrm flipH="1">
          <a:off x="282893" y="4823460"/>
          <a:ext cx="1369695" cy="0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210026</xdr:colOff>
      <xdr:row>15</xdr:row>
      <xdr:rowOff>99060</xdr:rowOff>
    </xdr:from>
    <xdr:to>
      <xdr:col>0</xdr:col>
      <xdr:colOff>1836896</xdr:colOff>
      <xdr:row>18</xdr:row>
      <xdr:rowOff>0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42F1D07-C46F-408F-B6C3-D2D3253E629B}"/>
            </a:ext>
          </a:extLst>
        </xdr:cNvPr>
        <xdr:cNvSpPr/>
      </xdr:nvSpPr>
      <xdr:spPr>
        <a:xfrm>
          <a:off x="210026" y="3063240"/>
          <a:ext cx="1626870" cy="472440"/>
        </a:xfrm>
        <a:prstGeom prst="roundRect">
          <a:avLst>
            <a:gd name="adj" fmla="val 45045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>
                  <a:lumMod val="9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  <a:endParaRPr lang="pt-BR" sz="1800">
            <a:solidFill>
              <a:schemeClr val="bg1">
                <a:lumMod val="9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 editAs="absolute">
    <xdr:from>
      <xdr:col>0</xdr:col>
      <xdr:colOff>210026</xdr:colOff>
      <xdr:row>19</xdr:row>
      <xdr:rowOff>114300</xdr:rowOff>
    </xdr:from>
    <xdr:to>
      <xdr:col>0</xdr:col>
      <xdr:colOff>1836896</xdr:colOff>
      <xdr:row>22</xdr:row>
      <xdr:rowOff>38100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FC47502-4AC7-4083-B3CE-8CFDBB33BF2A}"/>
            </a:ext>
          </a:extLst>
        </xdr:cNvPr>
        <xdr:cNvSpPr/>
      </xdr:nvSpPr>
      <xdr:spPr>
        <a:xfrm>
          <a:off x="210026" y="3840480"/>
          <a:ext cx="1626870" cy="472440"/>
        </a:xfrm>
        <a:prstGeom prst="roundRect">
          <a:avLst>
            <a:gd name="adj" fmla="val 45045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>
                  <a:lumMod val="9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  <a:endParaRPr lang="pt-BR" sz="1800">
            <a:solidFill>
              <a:schemeClr val="bg1">
                <a:lumMod val="9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3</xdr:col>
      <xdr:colOff>2306087</xdr:colOff>
      <xdr:row>20</xdr:row>
      <xdr:rowOff>137815</xdr:rowOff>
    </xdr:from>
    <xdr:to>
      <xdr:col>3</xdr:col>
      <xdr:colOff>2572382</xdr:colOff>
      <xdr:row>21</xdr:row>
      <xdr:rowOff>61250</xdr:rowOff>
    </xdr:to>
    <xdr:sp macro="" textlink="">
      <xdr:nvSpPr>
        <xdr:cNvPr id="15" name="Gráfico 13" descr="Seta de linha: curva ligeira com preenchimento sólido">
          <a:extLst>
            <a:ext uri="{FF2B5EF4-FFF2-40B4-BE49-F238E27FC236}">
              <a16:creationId xmlns:a16="http://schemas.microsoft.com/office/drawing/2014/main" id="{B59980CD-1D07-A7B0-AF76-3C004E512E18}"/>
            </a:ext>
          </a:extLst>
        </xdr:cNvPr>
        <xdr:cNvSpPr/>
      </xdr:nvSpPr>
      <xdr:spPr>
        <a:xfrm>
          <a:off x="7678187" y="4046875"/>
          <a:ext cx="266295" cy="106315"/>
        </a:xfrm>
        <a:custGeom>
          <a:avLst/>
          <a:gdLst>
            <a:gd name="csX0" fmla="*/ 263438 w 266295"/>
            <a:gd name="csY0" fmla="*/ 46017 h 106315"/>
            <a:gd name="csX1" fmla="*/ 218988 w 266295"/>
            <a:gd name="csY1" fmla="*/ 1567 h 106315"/>
            <a:gd name="csX2" fmla="*/ 206923 w 266295"/>
            <a:gd name="csY2" fmla="*/ 2837 h 106315"/>
            <a:gd name="csX3" fmla="*/ 205653 w 266295"/>
            <a:gd name="csY3" fmla="*/ 14902 h 106315"/>
            <a:gd name="csX4" fmla="*/ 233911 w 266295"/>
            <a:gd name="csY4" fmla="*/ 43160 h 106315"/>
            <a:gd name="csX5" fmla="*/ 199938 w 266295"/>
            <a:gd name="csY5" fmla="*/ 43160 h 106315"/>
            <a:gd name="csX6" fmla="*/ 171363 w 266295"/>
            <a:gd name="csY6" fmla="*/ 43477 h 106315"/>
            <a:gd name="csX7" fmla="*/ 18328 w 266295"/>
            <a:gd name="csY7" fmla="*/ 13950 h 106315"/>
            <a:gd name="csX8" fmla="*/ 5628 w 266295"/>
            <a:gd name="csY8" fmla="*/ 9187 h 106315"/>
            <a:gd name="csX9" fmla="*/ 866 w 266295"/>
            <a:gd name="csY9" fmla="*/ 21887 h 106315"/>
            <a:gd name="csX10" fmla="*/ 137073 w 266295"/>
            <a:gd name="csY10" fmla="*/ 63162 h 106315"/>
            <a:gd name="csX11" fmla="*/ 171681 w 266295"/>
            <a:gd name="csY11" fmla="*/ 62845 h 106315"/>
            <a:gd name="csX12" fmla="*/ 199938 w 266295"/>
            <a:gd name="csY12" fmla="*/ 62527 h 106315"/>
            <a:gd name="csX13" fmla="*/ 234228 w 266295"/>
            <a:gd name="csY13" fmla="*/ 62527 h 106315"/>
            <a:gd name="csX14" fmla="*/ 205971 w 266295"/>
            <a:gd name="csY14" fmla="*/ 90785 h 106315"/>
            <a:gd name="csX15" fmla="*/ 206606 w 266295"/>
            <a:gd name="csY15" fmla="*/ 103485 h 106315"/>
            <a:gd name="csX16" fmla="*/ 219306 w 266295"/>
            <a:gd name="csY16" fmla="*/ 104120 h 106315"/>
            <a:gd name="csX17" fmla="*/ 263756 w 266295"/>
            <a:gd name="csY17" fmla="*/ 59670 h 106315"/>
            <a:gd name="csX18" fmla="*/ 265661 w 266295"/>
            <a:gd name="csY18" fmla="*/ 56495 h 106315"/>
            <a:gd name="csX19" fmla="*/ 265978 w 266295"/>
            <a:gd name="csY19" fmla="*/ 55542 h 106315"/>
            <a:gd name="csX20" fmla="*/ 266296 w 266295"/>
            <a:gd name="csY20" fmla="*/ 54907 h 106315"/>
            <a:gd name="csX21" fmla="*/ 266296 w 266295"/>
            <a:gd name="csY21" fmla="*/ 53955 h 106315"/>
            <a:gd name="csX22" fmla="*/ 266296 w 266295"/>
            <a:gd name="csY22" fmla="*/ 53002 h 106315"/>
            <a:gd name="csX23" fmla="*/ 266296 w 266295"/>
            <a:gd name="csY23" fmla="*/ 52367 h 106315"/>
            <a:gd name="csX24" fmla="*/ 263438 w 266295"/>
            <a:gd name="csY24" fmla="*/ 46017 h 10631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</a:cxnLst>
          <a:rect l="l" t="t" r="r" b="b"/>
          <a:pathLst>
            <a:path w="266295" h="106315">
              <a:moveTo>
                <a:pt x="263438" y="46017"/>
              </a:moveTo>
              <a:lnTo>
                <a:pt x="218988" y="1567"/>
              </a:lnTo>
              <a:cubicBezTo>
                <a:pt x="215178" y="-973"/>
                <a:pt x="210098" y="-338"/>
                <a:pt x="206923" y="2837"/>
              </a:cubicBezTo>
              <a:cubicBezTo>
                <a:pt x="203748" y="6012"/>
                <a:pt x="203113" y="11092"/>
                <a:pt x="205653" y="14902"/>
              </a:cubicBezTo>
              <a:lnTo>
                <a:pt x="233911" y="43160"/>
              </a:lnTo>
              <a:lnTo>
                <a:pt x="199938" y="43160"/>
              </a:lnTo>
              <a:cubicBezTo>
                <a:pt x="191048" y="43160"/>
                <a:pt x="181523" y="43477"/>
                <a:pt x="171363" y="43477"/>
              </a:cubicBezTo>
              <a:cubicBezTo>
                <a:pt x="116118" y="44430"/>
                <a:pt x="32298" y="45700"/>
                <a:pt x="18328" y="13950"/>
              </a:cubicBezTo>
              <a:cubicBezTo>
                <a:pt x="16106" y="9187"/>
                <a:pt x="10708" y="6965"/>
                <a:pt x="5628" y="9187"/>
              </a:cubicBezTo>
              <a:cubicBezTo>
                <a:pt x="866" y="11410"/>
                <a:pt x="-1357" y="16807"/>
                <a:pt x="866" y="21887"/>
              </a:cubicBezTo>
              <a:cubicBezTo>
                <a:pt x="17058" y="58082"/>
                <a:pt x="78018" y="63162"/>
                <a:pt x="137073" y="63162"/>
              </a:cubicBezTo>
              <a:cubicBezTo>
                <a:pt x="148821" y="63162"/>
                <a:pt x="160568" y="62845"/>
                <a:pt x="171681" y="62845"/>
              </a:cubicBezTo>
              <a:cubicBezTo>
                <a:pt x="181841" y="62527"/>
                <a:pt x="191366" y="62527"/>
                <a:pt x="199938" y="62527"/>
              </a:cubicBezTo>
              <a:lnTo>
                <a:pt x="234228" y="62527"/>
              </a:lnTo>
              <a:lnTo>
                <a:pt x="205971" y="90785"/>
              </a:lnTo>
              <a:cubicBezTo>
                <a:pt x="203113" y="94595"/>
                <a:pt x="203431" y="99992"/>
                <a:pt x="206606" y="103485"/>
              </a:cubicBezTo>
              <a:cubicBezTo>
                <a:pt x="209781" y="106977"/>
                <a:pt x="215496" y="107295"/>
                <a:pt x="219306" y="104120"/>
              </a:cubicBezTo>
              <a:lnTo>
                <a:pt x="263756" y="59670"/>
              </a:lnTo>
              <a:cubicBezTo>
                <a:pt x="264708" y="58717"/>
                <a:pt x="265343" y="57765"/>
                <a:pt x="265661" y="56495"/>
              </a:cubicBezTo>
              <a:cubicBezTo>
                <a:pt x="265661" y="56177"/>
                <a:pt x="265978" y="55860"/>
                <a:pt x="265978" y="55542"/>
              </a:cubicBezTo>
              <a:cubicBezTo>
                <a:pt x="265978" y="55225"/>
                <a:pt x="265978" y="55225"/>
                <a:pt x="266296" y="54907"/>
              </a:cubicBezTo>
              <a:cubicBezTo>
                <a:pt x="266296" y="54590"/>
                <a:pt x="266296" y="54272"/>
                <a:pt x="266296" y="53955"/>
              </a:cubicBezTo>
              <a:cubicBezTo>
                <a:pt x="266296" y="53637"/>
                <a:pt x="266296" y="53320"/>
                <a:pt x="266296" y="53002"/>
              </a:cubicBezTo>
              <a:cubicBezTo>
                <a:pt x="266296" y="52685"/>
                <a:pt x="266296" y="52685"/>
                <a:pt x="266296" y="52367"/>
              </a:cubicBezTo>
              <a:cubicBezTo>
                <a:pt x="265978" y="49827"/>
                <a:pt x="265026" y="47605"/>
                <a:pt x="263438" y="46017"/>
              </a:cubicBezTo>
              <a:close/>
            </a:path>
          </a:pathLst>
        </a:custGeom>
        <a:solidFill>
          <a:schemeClr val="bg1"/>
        </a:solidFill>
        <a:ln w="3175" cap="flat">
          <a:solidFill>
            <a:schemeClr val="bg1"/>
          </a:solidFill>
          <a:prstDash val="solid"/>
          <a:miter/>
        </a:ln>
      </xdr:spPr>
    </xdr:sp>
    <xdr:clientData/>
  </xdr:twoCellAnchor>
  <xdr:twoCellAnchor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grpSp>
      <xdr:nvGrpSpPr>
        <xdr:cNvPr id="17" name="Agrupar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FC47BFF-53EE-4EFA-BB96-01C6DF6083C3}"/>
            </a:ext>
          </a:extLst>
        </xdr:cNvPr>
        <xdr:cNvGrpSpPr/>
      </xdr:nvGrpSpPr>
      <xdr:grpSpPr>
        <a:xfrm>
          <a:off x="5372100" y="3909060"/>
          <a:ext cx="2796540" cy="365760"/>
          <a:chOff x="5372100" y="4983480"/>
          <a:chExt cx="2796540" cy="365760"/>
        </a:xfrm>
      </xdr:grpSpPr>
      <xdr:sp macro="" textlink="">
        <xdr:nvSpPr>
          <xdr:cNvPr id="18" name="Retângulo 17">
            <a:extLst>
              <a:ext uri="{FF2B5EF4-FFF2-40B4-BE49-F238E27FC236}">
                <a16:creationId xmlns:a16="http://schemas.microsoft.com/office/drawing/2014/main" id="{6B798FF4-4066-116D-A29A-B01731AC2565}"/>
              </a:ext>
            </a:extLst>
          </xdr:cNvPr>
          <xdr:cNvSpPr/>
        </xdr:nvSpPr>
        <xdr:spPr>
          <a:xfrm>
            <a:off x="5372100" y="4983480"/>
            <a:ext cx="2796540" cy="365760"/>
          </a:xfrm>
          <a:prstGeom prst="rect">
            <a:avLst/>
          </a:prstGeom>
          <a:ln/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>
                <a:latin typeface="+mj-lt"/>
              </a:rPr>
              <a:t>PRÓXIMO </a:t>
            </a:r>
          </a:p>
        </xdr:txBody>
      </xdr:sp>
      <xdr:sp macro="" textlink="">
        <xdr:nvSpPr>
          <xdr:cNvPr id="19" name="Gráfico 13" descr="Seta de linha: curva ligeira com preenchimento sólido">
            <a:extLst>
              <a:ext uri="{FF2B5EF4-FFF2-40B4-BE49-F238E27FC236}">
                <a16:creationId xmlns:a16="http://schemas.microsoft.com/office/drawing/2014/main" id="{698E01B2-23CF-5CA6-906C-75DF89F8E232}"/>
              </a:ext>
            </a:extLst>
          </xdr:cNvPr>
          <xdr:cNvSpPr/>
        </xdr:nvSpPr>
        <xdr:spPr>
          <a:xfrm>
            <a:off x="7636050" y="5128260"/>
            <a:ext cx="266295" cy="106315"/>
          </a:xfrm>
          <a:custGeom>
            <a:avLst/>
            <a:gdLst>
              <a:gd name="csX0" fmla="*/ 263438 w 266295"/>
              <a:gd name="csY0" fmla="*/ 46017 h 106315"/>
              <a:gd name="csX1" fmla="*/ 218988 w 266295"/>
              <a:gd name="csY1" fmla="*/ 1567 h 106315"/>
              <a:gd name="csX2" fmla="*/ 206923 w 266295"/>
              <a:gd name="csY2" fmla="*/ 2837 h 106315"/>
              <a:gd name="csX3" fmla="*/ 205653 w 266295"/>
              <a:gd name="csY3" fmla="*/ 14902 h 106315"/>
              <a:gd name="csX4" fmla="*/ 233911 w 266295"/>
              <a:gd name="csY4" fmla="*/ 43160 h 106315"/>
              <a:gd name="csX5" fmla="*/ 199938 w 266295"/>
              <a:gd name="csY5" fmla="*/ 43160 h 106315"/>
              <a:gd name="csX6" fmla="*/ 171363 w 266295"/>
              <a:gd name="csY6" fmla="*/ 43477 h 106315"/>
              <a:gd name="csX7" fmla="*/ 18328 w 266295"/>
              <a:gd name="csY7" fmla="*/ 13950 h 106315"/>
              <a:gd name="csX8" fmla="*/ 5628 w 266295"/>
              <a:gd name="csY8" fmla="*/ 9187 h 106315"/>
              <a:gd name="csX9" fmla="*/ 866 w 266295"/>
              <a:gd name="csY9" fmla="*/ 21887 h 106315"/>
              <a:gd name="csX10" fmla="*/ 137073 w 266295"/>
              <a:gd name="csY10" fmla="*/ 63162 h 106315"/>
              <a:gd name="csX11" fmla="*/ 171681 w 266295"/>
              <a:gd name="csY11" fmla="*/ 62845 h 106315"/>
              <a:gd name="csX12" fmla="*/ 199938 w 266295"/>
              <a:gd name="csY12" fmla="*/ 62527 h 106315"/>
              <a:gd name="csX13" fmla="*/ 234228 w 266295"/>
              <a:gd name="csY13" fmla="*/ 62527 h 106315"/>
              <a:gd name="csX14" fmla="*/ 205971 w 266295"/>
              <a:gd name="csY14" fmla="*/ 90785 h 106315"/>
              <a:gd name="csX15" fmla="*/ 206606 w 266295"/>
              <a:gd name="csY15" fmla="*/ 103485 h 106315"/>
              <a:gd name="csX16" fmla="*/ 219306 w 266295"/>
              <a:gd name="csY16" fmla="*/ 104120 h 106315"/>
              <a:gd name="csX17" fmla="*/ 263756 w 266295"/>
              <a:gd name="csY17" fmla="*/ 59670 h 106315"/>
              <a:gd name="csX18" fmla="*/ 265661 w 266295"/>
              <a:gd name="csY18" fmla="*/ 56495 h 106315"/>
              <a:gd name="csX19" fmla="*/ 265978 w 266295"/>
              <a:gd name="csY19" fmla="*/ 55542 h 106315"/>
              <a:gd name="csX20" fmla="*/ 266296 w 266295"/>
              <a:gd name="csY20" fmla="*/ 54907 h 106315"/>
              <a:gd name="csX21" fmla="*/ 266296 w 266295"/>
              <a:gd name="csY21" fmla="*/ 53955 h 106315"/>
              <a:gd name="csX22" fmla="*/ 266296 w 266295"/>
              <a:gd name="csY22" fmla="*/ 53002 h 106315"/>
              <a:gd name="csX23" fmla="*/ 266296 w 266295"/>
              <a:gd name="csY23" fmla="*/ 52367 h 106315"/>
              <a:gd name="csX24" fmla="*/ 263438 w 266295"/>
              <a:gd name="csY24" fmla="*/ 46017 h 106315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  <a:cxn ang="0">
                <a:pos x="csX20" y="csY20"/>
              </a:cxn>
              <a:cxn ang="0">
                <a:pos x="csX21" y="csY21"/>
              </a:cxn>
              <a:cxn ang="0">
                <a:pos x="csX22" y="csY22"/>
              </a:cxn>
              <a:cxn ang="0">
                <a:pos x="csX23" y="csY23"/>
              </a:cxn>
              <a:cxn ang="0">
                <a:pos x="csX24" y="csY24"/>
              </a:cxn>
            </a:cxnLst>
            <a:rect l="l" t="t" r="r" b="b"/>
            <a:pathLst>
              <a:path w="266295" h="106315">
                <a:moveTo>
                  <a:pt x="263438" y="46017"/>
                </a:moveTo>
                <a:lnTo>
                  <a:pt x="218988" y="1567"/>
                </a:lnTo>
                <a:cubicBezTo>
                  <a:pt x="215178" y="-973"/>
                  <a:pt x="210098" y="-338"/>
                  <a:pt x="206923" y="2837"/>
                </a:cubicBezTo>
                <a:cubicBezTo>
                  <a:pt x="203748" y="6012"/>
                  <a:pt x="203113" y="11092"/>
                  <a:pt x="205653" y="14902"/>
                </a:cubicBezTo>
                <a:lnTo>
                  <a:pt x="233911" y="43160"/>
                </a:lnTo>
                <a:lnTo>
                  <a:pt x="199938" y="43160"/>
                </a:lnTo>
                <a:cubicBezTo>
                  <a:pt x="191048" y="43160"/>
                  <a:pt x="181523" y="43477"/>
                  <a:pt x="171363" y="43477"/>
                </a:cubicBezTo>
                <a:cubicBezTo>
                  <a:pt x="116118" y="44430"/>
                  <a:pt x="32298" y="45700"/>
                  <a:pt x="18328" y="13950"/>
                </a:cubicBezTo>
                <a:cubicBezTo>
                  <a:pt x="16106" y="9187"/>
                  <a:pt x="10708" y="6965"/>
                  <a:pt x="5628" y="9187"/>
                </a:cubicBezTo>
                <a:cubicBezTo>
                  <a:pt x="866" y="11410"/>
                  <a:pt x="-1357" y="16807"/>
                  <a:pt x="866" y="21887"/>
                </a:cubicBezTo>
                <a:cubicBezTo>
                  <a:pt x="17058" y="58082"/>
                  <a:pt x="78018" y="63162"/>
                  <a:pt x="137073" y="63162"/>
                </a:cubicBezTo>
                <a:cubicBezTo>
                  <a:pt x="148821" y="63162"/>
                  <a:pt x="160568" y="62845"/>
                  <a:pt x="171681" y="62845"/>
                </a:cubicBezTo>
                <a:cubicBezTo>
                  <a:pt x="181841" y="62527"/>
                  <a:pt x="191366" y="62527"/>
                  <a:pt x="199938" y="62527"/>
                </a:cubicBezTo>
                <a:lnTo>
                  <a:pt x="234228" y="62527"/>
                </a:lnTo>
                <a:lnTo>
                  <a:pt x="205971" y="90785"/>
                </a:lnTo>
                <a:cubicBezTo>
                  <a:pt x="203113" y="94595"/>
                  <a:pt x="203431" y="99992"/>
                  <a:pt x="206606" y="103485"/>
                </a:cubicBezTo>
                <a:cubicBezTo>
                  <a:pt x="209781" y="106977"/>
                  <a:pt x="215496" y="107295"/>
                  <a:pt x="219306" y="104120"/>
                </a:cubicBezTo>
                <a:lnTo>
                  <a:pt x="263756" y="59670"/>
                </a:lnTo>
                <a:cubicBezTo>
                  <a:pt x="264708" y="58717"/>
                  <a:pt x="265343" y="57765"/>
                  <a:pt x="265661" y="56495"/>
                </a:cubicBezTo>
                <a:cubicBezTo>
                  <a:pt x="265661" y="56177"/>
                  <a:pt x="265978" y="55860"/>
                  <a:pt x="265978" y="55542"/>
                </a:cubicBezTo>
                <a:cubicBezTo>
                  <a:pt x="265978" y="55225"/>
                  <a:pt x="265978" y="55225"/>
                  <a:pt x="266296" y="54907"/>
                </a:cubicBezTo>
                <a:cubicBezTo>
                  <a:pt x="266296" y="54590"/>
                  <a:pt x="266296" y="54272"/>
                  <a:pt x="266296" y="53955"/>
                </a:cubicBezTo>
                <a:cubicBezTo>
                  <a:pt x="266296" y="53637"/>
                  <a:pt x="266296" y="53320"/>
                  <a:pt x="266296" y="53002"/>
                </a:cubicBezTo>
                <a:cubicBezTo>
                  <a:pt x="266296" y="52685"/>
                  <a:pt x="266296" y="52685"/>
                  <a:pt x="266296" y="52367"/>
                </a:cubicBezTo>
                <a:cubicBezTo>
                  <a:pt x="265978" y="49827"/>
                  <a:pt x="265026" y="47605"/>
                  <a:pt x="263438" y="46017"/>
                </a:cubicBezTo>
                <a:close/>
              </a:path>
            </a:pathLst>
          </a:custGeom>
          <a:solidFill>
            <a:schemeClr val="bg1"/>
          </a:solidFill>
          <a:ln w="3175" cap="flat">
            <a:solidFill>
              <a:schemeClr val="bg1"/>
            </a:solidFill>
            <a:prstDash val="solid"/>
            <a:miter/>
          </a:ln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7620</xdr:rowOff>
    </xdr:from>
    <xdr:to>
      <xdr:col>1</xdr:col>
      <xdr:colOff>7620</xdr:colOff>
      <xdr:row>2</xdr:row>
      <xdr:rowOff>137160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50111729-CF48-49CB-A1A5-79FBF88AE7F5}"/>
            </a:ext>
          </a:extLst>
        </xdr:cNvPr>
        <xdr:cNvSpPr/>
      </xdr:nvSpPr>
      <xdr:spPr>
        <a:xfrm>
          <a:off x="0" y="190500"/>
          <a:ext cx="1943100" cy="3124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i="1">
              <a:gradFill flip="none" rotWithShape="1">
                <a:gsLst>
                  <a:gs pos="79375">
                    <a:srgbClr val="DE70D6">
                      <a:lumMod val="64000"/>
                    </a:srgbClr>
                  </a:gs>
                  <a:gs pos="38113">
                    <a:srgbClr val="DE70D6"/>
                  </a:gs>
                  <a:gs pos="60000">
                    <a:schemeClr val="bg1">
                      <a:lumMod val="95000"/>
                    </a:schemeClr>
                  </a:gs>
                  <a:gs pos="17000">
                    <a:srgbClr val="EFBBEB"/>
                  </a:gs>
                </a:gsLst>
                <a:lin ang="2700000" scaled="1"/>
                <a:tileRect/>
              </a:gradFill>
              <a:latin typeface="Bodoni MT Black" panose="02070A03080606020203" pitchFamily="18" charset="0"/>
            </a:rPr>
            <a:t>WOLF</a:t>
          </a:r>
          <a:r>
            <a:rPr lang="pt-BR" sz="1600" b="1" i="1" baseline="0">
              <a:gradFill>
                <a:gsLst>
                  <a:gs pos="60000">
                    <a:schemeClr val="bg1">
                      <a:lumMod val="95000"/>
                    </a:schemeClr>
                  </a:gs>
                  <a:gs pos="17000">
                    <a:srgbClr val="EFBBEB"/>
                  </a:gs>
                </a:gsLst>
                <a:lin ang="5400000" scaled="1"/>
              </a:gradFill>
              <a:latin typeface="Bodoni MT Black" panose="02070A03080606020203" pitchFamily="18" charset="0"/>
            </a:rPr>
            <a:t> </a:t>
          </a:r>
          <a:r>
            <a:rPr lang="pt-BR" sz="1600" b="1" i="1" baseline="0">
              <a:gradFill flip="none" rotWithShape="1">
                <a:gsLst>
                  <a:gs pos="55000">
                    <a:srgbClr val="EFBBEB">
                      <a:lumMod val="68000"/>
                      <a:lumOff val="32000"/>
                    </a:srgbClr>
                  </a:gs>
                  <a:gs pos="84000">
                    <a:srgbClr val="DE70D6"/>
                  </a:gs>
                  <a:gs pos="0">
                    <a:srgbClr val="EFBBEB"/>
                  </a:gs>
                  <a:gs pos="20000">
                    <a:srgbClr val="DE70D6"/>
                  </a:gs>
                </a:gsLst>
                <a:lin ang="2700000" scaled="1"/>
                <a:tileRect/>
              </a:gradFill>
              <a:latin typeface="Bodoni MT Black" panose="02070A03080606020203" pitchFamily="18" charset="0"/>
            </a:rPr>
            <a:t>APP</a:t>
          </a:r>
          <a:endParaRPr lang="pt-BR" sz="1600" b="1" i="1">
            <a:gradFill flip="none" rotWithShape="1">
              <a:gsLst>
                <a:gs pos="55000">
                  <a:srgbClr val="EFBBEB">
                    <a:lumMod val="68000"/>
                    <a:lumOff val="32000"/>
                  </a:srgbClr>
                </a:gs>
                <a:gs pos="84000">
                  <a:srgbClr val="DE70D6"/>
                </a:gs>
                <a:gs pos="0">
                  <a:srgbClr val="EFBBEB"/>
                </a:gs>
                <a:gs pos="20000">
                  <a:srgbClr val="DE70D6"/>
                </a:gs>
              </a:gsLst>
              <a:lin ang="2700000" scaled="1"/>
              <a:tileRect/>
            </a:gradFill>
            <a:latin typeface="Bodoni MT Black" panose="02070A03080606020203" pitchFamily="18" charset="0"/>
          </a:endParaRPr>
        </a:p>
      </xdr:txBody>
    </xdr:sp>
    <xdr:clientData/>
  </xdr:twoCellAnchor>
  <xdr:twoCellAnchor editAs="absolute">
    <xdr:from>
      <xdr:col>0</xdr:col>
      <xdr:colOff>422910</xdr:colOff>
      <xdr:row>3</xdr:row>
      <xdr:rowOff>53340</xdr:rowOff>
    </xdr:from>
    <xdr:to>
      <xdr:col>0</xdr:col>
      <xdr:colOff>1520190</xdr:colOff>
      <xdr:row>8</xdr:row>
      <xdr:rowOff>167640</xdr:rowOff>
    </xdr:to>
    <xdr:pic>
      <xdr:nvPicPr>
        <xdr:cNvPr id="3" name="Imagem 2" descr="Wolf - Free animals icons">
          <a:extLst>
            <a:ext uri="{FF2B5EF4-FFF2-40B4-BE49-F238E27FC236}">
              <a16:creationId xmlns:a16="http://schemas.microsoft.com/office/drawing/2014/main" id="{38D36E53-A45E-4FCD-92C5-7270A9EB4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910" y="678180"/>
          <a:ext cx="1097280" cy="1097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210026</xdr:colOff>
      <xdr:row>12</xdr:row>
      <xdr:rowOff>0</xdr:rowOff>
    </xdr:from>
    <xdr:to>
      <xdr:col>0</xdr:col>
      <xdr:colOff>1836896</xdr:colOff>
      <xdr:row>14</xdr:row>
      <xdr:rowOff>99060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ED580C-3297-491B-8114-2F8317854C6A}"/>
            </a:ext>
          </a:extLst>
        </xdr:cNvPr>
        <xdr:cNvSpPr/>
      </xdr:nvSpPr>
      <xdr:spPr>
        <a:xfrm>
          <a:off x="210026" y="2362200"/>
          <a:ext cx="1626870" cy="472440"/>
        </a:xfrm>
        <a:prstGeom prst="roundRect">
          <a:avLst>
            <a:gd name="adj" fmla="val 45045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>
                  <a:lumMod val="9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  <a:r>
            <a:rPr lang="pt-BR" sz="1800" baseline="0">
              <a:solidFill>
                <a:schemeClr val="bg1">
                  <a:lumMod val="95000"/>
                </a:schemeClr>
              </a:solidFill>
              <a:latin typeface="Aptos Narrow" panose="020B0004020202020204" pitchFamily="34" charset="0"/>
            </a:rPr>
            <a:t> </a:t>
          </a:r>
          <a:endParaRPr lang="pt-BR" sz="1800">
            <a:solidFill>
              <a:schemeClr val="bg1">
                <a:lumMod val="9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24</xdr:row>
      <xdr:rowOff>182880</xdr:rowOff>
    </xdr:from>
    <xdr:to>
      <xdr:col>1</xdr:col>
      <xdr:colOff>0</xdr:colOff>
      <xdr:row>25</xdr:row>
      <xdr:rowOff>175260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6CBA4DDC-AEAA-4F24-8AE2-87D86E10F2B5}"/>
            </a:ext>
          </a:extLst>
        </xdr:cNvPr>
        <xdr:cNvSpPr/>
      </xdr:nvSpPr>
      <xdr:spPr>
        <a:xfrm>
          <a:off x="0" y="4800600"/>
          <a:ext cx="1935480" cy="1828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85000"/>
                </a:schemeClr>
              </a:solidFill>
            </a:rPr>
            <a:t>Made</a:t>
          </a:r>
          <a:r>
            <a:rPr lang="pt-BR" sz="1100" baseline="0">
              <a:solidFill>
                <a:schemeClr val="bg1">
                  <a:lumMod val="85000"/>
                </a:schemeClr>
              </a:solidFill>
            </a:rPr>
            <a:t> by Mariana</a:t>
          </a:r>
          <a:r>
            <a:rPr lang="pt-BR" sz="1100">
              <a:solidFill>
                <a:schemeClr val="bg1">
                  <a:lumMod val="85000"/>
                </a:schemeClr>
              </a:solidFill>
            </a:rPr>
            <a:t>💜</a:t>
          </a:r>
        </a:p>
      </xdr:txBody>
    </xdr:sp>
    <xdr:clientData/>
  </xdr:twoCellAnchor>
  <xdr:twoCellAnchor editAs="absolute">
    <xdr:from>
      <xdr:col>0</xdr:col>
      <xdr:colOff>282893</xdr:colOff>
      <xdr:row>24</xdr:row>
      <xdr:rowOff>182880</xdr:rowOff>
    </xdr:from>
    <xdr:to>
      <xdr:col>0</xdr:col>
      <xdr:colOff>1652588</xdr:colOff>
      <xdr:row>24</xdr:row>
      <xdr:rowOff>182880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8E81864F-47FF-4275-9F34-999C787FFB5D}"/>
            </a:ext>
          </a:extLst>
        </xdr:cNvPr>
        <xdr:cNvCxnSpPr/>
      </xdr:nvCxnSpPr>
      <xdr:spPr>
        <a:xfrm flipH="1">
          <a:off x="282893" y="4800600"/>
          <a:ext cx="1369695" cy="0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210026</xdr:colOff>
      <xdr:row>15</xdr:row>
      <xdr:rowOff>144780</xdr:rowOff>
    </xdr:from>
    <xdr:to>
      <xdr:col>0</xdr:col>
      <xdr:colOff>1836896</xdr:colOff>
      <xdr:row>18</xdr:row>
      <xdr:rowOff>45720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8333719-F1C7-4FCE-BD88-913B5C29C2A9}"/>
            </a:ext>
          </a:extLst>
        </xdr:cNvPr>
        <xdr:cNvSpPr/>
      </xdr:nvSpPr>
      <xdr:spPr>
        <a:xfrm>
          <a:off x="210026" y="3063240"/>
          <a:ext cx="1626870" cy="472440"/>
        </a:xfrm>
        <a:prstGeom prst="roundRect">
          <a:avLst>
            <a:gd name="adj" fmla="val 45045"/>
          </a:avLst>
        </a:prstGeom>
        <a:gradFill flip="none" rotWithShape="1">
          <a:gsLst>
            <a:gs pos="84000">
              <a:srgbClr val="DB67D3"/>
            </a:gs>
            <a:gs pos="50000">
              <a:srgbClr val="C42EB9">
                <a:alpha val="97255"/>
              </a:srgbClr>
            </a:gs>
            <a:gs pos="16000">
              <a:srgbClr val="D54FCB">
                <a:alpha val="92157"/>
              </a:srgbClr>
            </a:gs>
          </a:gsLst>
          <a:lin ang="81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>
                  <a:lumMod val="9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  <a:endParaRPr lang="pt-BR" sz="1800">
            <a:solidFill>
              <a:schemeClr val="bg1">
                <a:lumMod val="9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 editAs="absolute">
    <xdr:from>
      <xdr:col>0</xdr:col>
      <xdr:colOff>210026</xdr:colOff>
      <xdr:row>19</xdr:row>
      <xdr:rowOff>160020</xdr:rowOff>
    </xdr:from>
    <xdr:to>
      <xdr:col>0</xdr:col>
      <xdr:colOff>1836896</xdr:colOff>
      <xdr:row>22</xdr:row>
      <xdr:rowOff>76200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F7C9ADF-D08E-4A01-B1F9-A265AC5A1CEA}"/>
            </a:ext>
          </a:extLst>
        </xdr:cNvPr>
        <xdr:cNvSpPr/>
      </xdr:nvSpPr>
      <xdr:spPr>
        <a:xfrm>
          <a:off x="210026" y="3840480"/>
          <a:ext cx="1626870" cy="472440"/>
        </a:xfrm>
        <a:prstGeom prst="roundRect">
          <a:avLst>
            <a:gd name="adj" fmla="val 45045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>
                  <a:lumMod val="9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  <a:endParaRPr lang="pt-BR" sz="1800">
            <a:solidFill>
              <a:schemeClr val="bg1">
                <a:lumMod val="9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4</xdr:col>
      <xdr:colOff>0</xdr:colOff>
      <xdr:row>28</xdr:row>
      <xdr:rowOff>0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68F8CCB0-7216-D2D4-989C-1F024DF7DAE7}"/>
            </a:ext>
          </a:extLst>
        </xdr:cNvPr>
        <xdr:cNvGrpSpPr/>
      </xdr:nvGrpSpPr>
      <xdr:grpSpPr>
        <a:xfrm>
          <a:off x="5372100" y="4991100"/>
          <a:ext cx="2796540" cy="365760"/>
          <a:chOff x="5372100" y="4983480"/>
          <a:chExt cx="2796540" cy="365760"/>
        </a:xfrm>
      </xdr:grpSpPr>
      <xdr:sp macro="" textlink="">
        <xdr:nvSpPr>
          <xdr:cNvPr id="9" name="Retângulo 8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AD145427-24BF-4121-B15B-C593F612FD63}"/>
              </a:ext>
            </a:extLst>
          </xdr:cNvPr>
          <xdr:cNvSpPr/>
        </xdr:nvSpPr>
        <xdr:spPr>
          <a:xfrm>
            <a:off x="5372100" y="4983480"/>
            <a:ext cx="2796540" cy="365760"/>
          </a:xfrm>
          <a:prstGeom prst="rect">
            <a:avLst/>
          </a:prstGeom>
          <a:ln/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>
                <a:latin typeface="+mj-lt"/>
              </a:rPr>
              <a:t>PRÓXIMO </a:t>
            </a:r>
          </a:p>
        </xdr:txBody>
      </xdr:sp>
      <xdr:sp macro="" textlink="">
        <xdr:nvSpPr>
          <xdr:cNvPr id="21" name="Gráfico 13" descr="Seta de linha: curva ligeira com preenchimento sólido">
            <a:extLst>
              <a:ext uri="{FF2B5EF4-FFF2-40B4-BE49-F238E27FC236}">
                <a16:creationId xmlns:a16="http://schemas.microsoft.com/office/drawing/2014/main" id="{6BA7C939-AD96-4DC8-8A3C-934C814E8EB3}"/>
              </a:ext>
            </a:extLst>
          </xdr:cNvPr>
          <xdr:cNvSpPr/>
        </xdr:nvSpPr>
        <xdr:spPr>
          <a:xfrm>
            <a:off x="7636050" y="5128260"/>
            <a:ext cx="266295" cy="106315"/>
          </a:xfrm>
          <a:custGeom>
            <a:avLst/>
            <a:gdLst>
              <a:gd name="csX0" fmla="*/ 263438 w 266295"/>
              <a:gd name="csY0" fmla="*/ 46017 h 106315"/>
              <a:gd name="csX1" fmla="*/ 218988 w 266295"/>
              <a:gd name="csY1" fmla="*/ 1567 h 106315"/>
              <a:gd name="csX2" fmla="*/ 206923 w 266295"/>
              <a:gd name="csY2" fmla="*/ 2837 h 106315"/>
              <a:gd name="csX3" fmla="*/ 205653 w 266295"/>
              <a:gd name="csY3" fmla="*/ 14902 h 106315"/>
              <a:gd name="csX4" fmla="*/ 233911 w 266295"/>
              <a:gd name="csY4" fmla="*/ 43160 h 106315"/>
              <a:gd name="csX5" fmla="*/ 199938 w 266295"/>
              <a:gd name="csY5" fmla="*/ 43160 h 106315"/>
              <a:gd name="csX6" fmla="*/ 171363 w 266295"/>
              <a:gd name="csY6" fmla="*/ 43477 h 106315"/>
              <a:gd name="csX7" fmla="*/ 18328 w 266295"/>
              <a:gd name="csY7" fmla="*/ 13950 h 106315"/>
              <a:gd name="csX8" fmla="*/ 5628 w 266295"/>
              <a:gd name="csY8" fmla="*/ 9187 h 106315"/>
              <a:gd name="csX9" fmla="*/ 866 w 266295"/>
              <a:gd name="csY9" fmla="*/ 21887 h 106315"/>
              <a:gd name="csX10" fmla="*/ 137073 w 266295"/>
              <a:gd name="csY10" fmla="*/ 63162 h 106315"/>
              <a:gd name="csX11" fmla="*/ 171681 w 266295"/>
              <a:gd name="csY11" fmla="*/ 62845 h 106315"/>
              <a:gd name="csX12" fmla="*/ 199938 w 266295"/>
              <a:gd name="csY12" fmla="*/ 62527 h 106315"/>
              <a:gd name="csX13" fmla="*/ 234228 w 266295"/>
              <a:gd name="csY13" fmla="*/ 62527 h 106315"/>
              <a:gd name="csX14" fmla="*/ 205971 w 266295"/>
              <a:gd name="csY14" fmla="*/ 90785 h 106315"/>
              <a:gd name="csX15" fmla="*/ 206606 w 266295"/>
              <a:gd name="csY15" fmla="*/ 103485 h 106315"/>
              <a:gd name="csX16" fmla="*/ 219306 w 266295"/>
              <a:gd name="csY16" fmla="*/ 104120 h 106315"/>
              <a:gd name="csX17" fmla="*/ 263756 w 266295"/>
              <a:gd name="csY17" fmla="*/ 59670 h 106315"/>
              <a:gd name="csX18" fmla="*/ 265661 w 266295"/>
              <a:gd name="csY18" fmla="*/ 56495 h 106315"/>
              <a:gd name="csX19" fmla="*/ 265978 w 266295"/>
              <a:gd name="csY19" fmla="*/ 55542 h 106315"/>
              <a:gd name="csX20" fmla="*/ 266296 w 266295"/>
              <a:gd name="csY20" fmla="*/ 54907 h 106315"/>
              <a:gd name="csX21" fmla="*/ 266296 w 266295"/>
              <a:gd name="csY21" fmla="*/ 53955 h 106315"/>
              <a:gd name="csX22" fmla="*/ 266296 w 266295"/>
              <a:gd name="csY22" fmla="*/ 53002 h 106315"/>
              <a:gd name="csX23" fmla="*/ 266296 w 266295"/>
              <a:gd name="csY23" fmla="*/ 52367 h 106315"/>
              <a:gd name="csX24" fmla="*/ 263438 w 266295"/>
              <a:gd name="csY24" fmla="*/ 46017 h 106315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  <a:cxn ang="0">
                <a:pos x="csX20" y="csY20"/>
              </a:cxn>
              <a:cxn ang="0">
                <a:pos x="csX21" y="csY21"/>
              </a:cxn>
              <a:cxn ang="0">
                <a:pos x="csX22" y="csY22"/>
              </a:cxn>
              <a:cxn ang="0">
                <a:pos x="csX23" y="csY23"/>
              </a:cxn>
              <a:cxn ang="0">
                <a:pos x="csX24" y="csY24"/>
              </a:cxn>
            </a:cxnLst>
            <a:rect l="l" t="t" r="r" b="b"/>
            <a:pathLst>
              <a:path w="266295" h="106315">
                <a:moveTo>
                  <a:pt x="263438" y="46017"/>
                </a:moveTo>
                <a:lnTo>
                  <a:pt x="218988" y="1567"/>
                </a:lnTo>
                <a:cubicBezTo>
                  <a:pt x="215178" y="-973"/>
                  <a:pt x="210098" y="-338"/>
                  <a:pt x="206923" y="2837"/>
                </a:cubicBezTo>
                <a:cubicBezTo>
                  <a:pt x="203748" y="6012"/>
                  <a:pt x="203113" y="11092"/>
                  <a:pt x="205653" y="14902"/>
                </a:cubicBezTo>
                <a:lnTo>
                  <a:pt x="233911" y="43160"/>
                </a:lnTo>
                <a:lnTo>
                  <a:pt x="199938" y="43160"/>
                </a:lnTo>
                <a:cubicBezTo>
                  <a:pt x="191048" y="43160"/>
                  <a:pt x="181523" y="43477"/>
                  <a:pt x="171363" y="43477"/>
                </a:cubicBezTo>
                <a:cubicBezTo>
                  <a:pt x="116118" y="44430"/>
                  <a:pt x="32298" y="45700"/>
                  <a:pt x="18328" y="13950"/>
                </a:cubicBezTo>
                <a:cubicBezTo>
                  <a:pt x="16106" y="9187"/>
                  <a:pt x="10708" y="6965"/>
                  <a:pt x="5628" y="9187"/>
                </a:cubicBezTo>
                <a:cubicBezTo>
                  <a:pt x="866" y="11410"/>
                  <a:pt x="-1357" y="16807"/>
                  <a:pt x="866" y="21887"/>
                </a:cubicBezTo>
                <a:cubicBezTo>
                  <a:pt x="17058" y="58082"/>
                  <a:pt x="78018" y="63162"/>
                  <a:pt x="137073" y="63162"/>
                </a:cubicBezTo>
                <a:cubicBezTo>
                  <a:pt x="148821" y="63162"/>
                  <a:pt x="160568" y="62845"/>
                  <a:pt x="171681" y="62845"/>
                </a:cubicBezTo>
                <a:cubicBezTo>
                  <a:pt x="181841" y="62527"/>
                  <a:pt x="191366" y="62527"/>
                  <a:pt x="199938" y="62527"/>
                </a:cubicBezTo>
                <a:lnTo>
                  <a:pt x="234228" y="62527"/>
                </a:lnTo>
                <a:lnTo>
                  <a:pt x="205971" y="90785"/>
                </a:lnTo>
                <a:cubicBezTo>
                  <a:pt x="203113" y="94595"/>
                  <a:pt x="203431" y="99992"/>
                  <a:pt x="206606" y="103485"/>
                </a:cubicBezTo>
                <a:cubicBezTo>
                  <a:pt x="209781" y="106977"/>
                  <a:pt x="215496" y="107295"/>
                  <a:pt x="219306" y="104120"/>
                </a:cubicBezTo>
                <a:lnTo>
                  <a:pt x="263756" y="59670"/>
                </a:lnTo>
                <a:cubicBezTo>
                  <a:pt x="264708" y="58717"/>
                  <a:pt x="265343" y="57765"/>
                  <a:pt x="265661" y="56495"/>
                </a:cubicBezTo>
                <a:cubicBezTo>
                  <a:pt x="265661" y="56177"/>
                  <a:pt x="265978" y="55860"/>
                  <a:pt x="265978" y="55542"/>
                </a:cubicBezTo>
                <a:cubicBezTo>
                  <a:pt x="265978" y="55225"/>
                  <a:pt x="265978" y="55225"/>
                  <a:pt x="266296" y="54907"/>
                </a:cubicBezTo>
                <a:cubicBezTo>
                  <a:pt x="266296" y="54590"/>
                  <a:pt x="266296" y="54272"/>
                  <a:pt x="266296" y="53955"/>
                </a:cubicBezTo>
                <a:cubicBezTo>
                  <a:pt x="266296" y="53637"/>
                  <a:pt x="266296" y="53320"/>
                  <a:pt x="266296" y="53002"/>
                </a:cubicBezTo>
                <a:cubicBezTo>
                  <a:pt x="266296" y="52685"/>
                  <a:pt x="266296" y="52685"/>
                  <a:pt x="266296" y="52367"/>
                </a:cubicBezTo>
                <a:cubicBezTo>
                  <a:pt x="265978" y="49827"/>
                  <a:pt x="265026" y="47605"/>
                  <a:pt x="263438" y="46017"/>
                </a:cubicBezTo>
                <a:close/>
              </a:path>
            </a:pathLst>
          </a:custGeom>
          <a:solidFill>
            <a:schemeClr val="bg1"/>
          </a:solidFill>
          <a:ln w="3175" cap="flat">
            <a:solidFill>
              <a:schemeClr val="bg1"/>
            </a:solidFill>
            <a:prstDash val="solid"/>
            <a:miter/>
          </a:ln>
        </xdr:spPr>
      </xdr:sp>
    </xdr:grpSp>
    <xdr:clientData/>
  </xdr:twoCellAnchor>
  <xdr:twoCellAnchor>
    <xdr:from>
      <xdr:col>2</xdr:col>
      <xdr:colOff>30480</xdr:colOff>
      <xdr:row>26</xdr:row>
      <xdr:rowOff>0</xdr:rowOff>
    </xdr:from>
    <xdr:to>
      <xdr:col>3</xdr:col>
      <xdr:colOff>0</xdr:colOff>
      <xdr:row>28</xdr:row>
      <xdr:rowOff>0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35C2F953-6917-B242-7B89-1E6061792D99}"/>
            </a:ext>
          </a:extLst>
        </xdr:cNvPr>
        <xdr:cNvGrpSpPr/>
      </xdr:nvGrpSpPr>
      <xdr:grpSpPr>
        <a:xfrm>
          <a:off x="2575560" y="4991100"/>
          <a:ext cx="2796540" cy="365760"/>
          <a:chOff x="2575560" y="4983480"/>
          <a:chExt cx="2796540" cy="365760"/>
        </a:xfrm>
      </xdr:grpSpPr>
      <xdr:sp macro="" textlink="">
        <xdr:nvSpPr>
          <xdr:cNvPr id="10" name="Retângulo 9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38140C92-FA19-4014-98BA-AE5D4AABBDB9}"/>
              </a:ext>
            </a:extLst>
          </xdr:cNvPr>
          <xdr:cNvSpPr/>
        </xdr:nvSpPr>
        <xdr:spPr>
          <a:xfrm>
            <a:off x="2575560" y="4983480"/>
            <a:ext cx="2796540" cy="365760"/>
          </a:xfrm>
          <a:prstGeom prst="rect">
            <a:avLst/>
          </a:prstGeom>
          <a:ln/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>
                <a:latin typeface="+mj-lt"/>
              </a:rPr>
              <a:t>ANTERIOR</a:t>
            </a:r>
          </a:p>
        </xdr:txBody>
      </xdr:sp>
      <xdr:sp macro="" textlink="">
        <xdr:nvSpPr>
          <xdr:cNvPr id="22" name="Gráfico 13" descr="Seta de linha: curva ligeira com preenchimento sólido">
            <a:extLst>
              <a:ext uri="{FF2B5EF4-FFF2-40B4-BE49-F238E27FC236}">
                <a16:creationId xmlns:a16="http://schemas.microsoft.com/office/drawing/2014/main" id="{2F5DA6CC-9552-47C0-9115-8E18E768553D}"/>
              </a:ext>
            </a:extLst>
          </xdr:cNvPr>
          <xdr:cNvSpPr/>
        </xdr:nvSpPr>
        <xdr:spPr>
          <a:xfrm flipH="1">
            <a:off x="2841387" y="5128260"/>
            <a:ext cx="266295" cy="106315"/>
          </a:xfrm>
          <a:custGeom>
            <a:avLst/>
            <a:gdLst>
              <a:gd name="csX0" fmla="*/ 263438 w 266295"/>
              <a:gd name="csY0" fmla="*/ 46017 h 106315"/>
              <a:gd name="csX1" fmla="*/ 218988 w 266295"/>
              <a:gd name="csY1" fmla="*/ 1567 h 106315"/>
              <a:gd name="csX2" fmla="*/ 206923 w 266295"/>
              <a:gd name="csY2" fmla="*/ 2837 h 106315"/>
              <a:gd name="csX3" fmla="*/ 205653 w 266295"/>
              <a:gd name="csY3" fmla="*/ 14902 h 106315"/>
              <a:gd name="csX4" fmla="*/ 233911 w 266295"/>
              <a:gd name="csY4" fmla="*/ 43160 h 106315"/>
              <a:gd name="csX5" fmla="*/ 199938 w 266295"/>
              <a:gd name="csY5" fmla="*/ 43160 h 106315"/>
              <a:gd name="csX6" fmla="*/ 171363 w 266295"/>
              <a:gd name="csY6" fmla="*/ 43477 h 106315"/>
              <a:gd name="csX7" fmla="*/ 18328 w 266295"/>
              <a:gd name="csY7" fmla="*/ 13950 h 106315"/>
              <a:gd name="csX8" fmla="*/ 5628 w 266295"/>
              <a:gd name="csY8" fmla="*/ 9187 h 106315"/>
              <a:gd name="csX9" fmla="*/ 866 w 266295"/>
              <a:gd name="csY9" fmla="*/ 21887 h 106315"/>
              <a:gd name="csX10" fmla="*/ 137073 w 266295"/>
              <a:gd name="csY10" fmla="*/ 63162 h 106315"/>
              <a:gd name="csX11" fmla="*/ 171681 w 266295"/>
              <a:gd name="csY11" fmla="*/ 62845 h 106315"/>
              <a:gd name="csX12" fmla="*/ 199938 w 266295"/>
              <a:gd name="csY12" fmla="*/ 62527 h 106315"/>
              <a:gd name="csX13" fmla="*/ 234228 w 266295"/>
              <a:gd name="csY13" fmla="*/ 62527 h 106315"/>
              <a:gd name="csX14" fmla="*/ 205971 w 266295"/>
              <a:gd name="csY14" fmla="*/ 90785 h 106315"/>
              <a:gd name="csX15" fmla="*/ 206606 w 266295"/>
              <a:gd name="csY15" fmla="*/ 103485 h 106315"/>
              <a:gd name="csX16" fmla="*/ 219306 w 266295"/>
              <a:gd name="csY16" fmla="*/ 104120 h 106315"/>
              <a:gd name="csX17" fmla="*/ 263756 w 266295"/>
              <a:gd name="csY17" fmla="*/ 59670 h 106315"/>
              <a:gd name="csX18" fmla="*/ 265661 w 266295"/>
              <a:gd name="csY18" fmla="*/ 56495 h 106315"/>
              <a:gd name="csX19" fmla="*/ 265978 w 266295"/>
              <a:gd name="csY19" fmla="*/ 55542 h 106315"/>
              <a:gd name="csX20" fmla="*/ 266296 w 266295"/>
              <a:gd name="csY20" fmla="*/ 54907 h 106315"/>
              <a:gd name="csX21" fmla="*/ 266296 w 266295"/>
              <a:gd name="csY21" fmla="*/ 53955 h 106315"/>
              <a:gd name="csX22" fmla="*/ 266296 w 266295"/>
              <a:gd name="csY22" fmla="*/ 53002 h 106315"/>
              <a:gd name="csX23" fmla="*/ 266296 w 266295"/>
              <a:gd name="csY23" fmla="*/ 52367 h 106315"/>
              <a:gd name="csX24" fmla="*/ 263438 w 266295"/>
              <a:gd name="csY24" fmla="*/ 46017 h 106315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  <a:cxn ang="0">
                <a:pos x="csX20" y="csY20"/>
              </a:cxn>
              <a:cxn ang="0">
                <a:pos x="csX21" y="csY21"/>
              </a:cxn>
              <a:cxn ang="0">
                <a:pos x="csX22" y="csY22"/>
              </a:cxn>
              <a:cxn ang="0">
                <a:pos x="csX23" y="csY23"/>
              </a:cxn>
              <a:cxn ang="0">
                <a:pos x="csX24" y="csY24"/>
              </a:cxn>
            </a:cxnLst>
            <a:rect l="l" t="t" r="r" b="b"/>
            <a:pathLst>
              <a:path w="266295" h="106315">
                <a:moveTo>
                  <a:pt x="263438" y="46017"/>
                </a:moveTo>
                <a:lnTo>
                  <a:pt x="218988" y="1567"/>
                </a:lnTo>
                <a:cubicBezTo>
                  <a:pt x="215178" y="-973"/>
                  <a:pt x="210098" y="-338"/>
                  <a:pt x="206923" y="2837"/>
                </a:cubicBezTo>
                <a:cubicBezTo>
                  <a:pt x="203748" y="6012"/>
                  <a:pt x="203113" y="11092"/>
                  <a:pt x="205653" y="14902"/>
                </a:cubicBezTo>
                <a:lnTo>
                  <a:pt x="233911" y="43160"/>
                </a:lnTo>
                <a:lnTo>
                  <a:pt x="199938" y="43160"/>
                </a:lnTo>
                <a:cubicBezTo>
                  <a:pt x="191048" y="43160"/>
                  <a:pt x="181523" y="43477"/>
                  <a:pt x="171363" y="43477"/>
                </a:cubicBezTo>
                <a:cubicBezTo>
                  <a:pt x="116118" y="44430"/>
                  <a:pt x="32298" y="45700"/>
                  <a:pt x="18328" y="13950"/>
                </a:cubicBezTo>
                <a:cubicBezTo>
                  <a:pt x="16106" y="9187"/>
                  <a:pt x="10708" y="6965"/>
                  <a:pt x="5628" y="9187"/>
                </a:cubicBezTo>
                <a:cubicBezTo>
                  <a:pt x="866" y="11410"/>
                  <a:pt x="-1357" y="16807"/>
                  <a:pt x="866" y="21887"/>
                </a:cubicBezTo>
                <a:cubicBezTo>
                  <a:pt x="17058" y="58082"/>
                  <a:pt x="78018" y="63162"/>
                  <a:pt x="137073" y="63162"/>
                </a:cubicBezTo>
                <a:cubicBezTo>
                  <a:pt x="148821" y="63162"/>
                  <a:pt x="160568" y="62845"/>
                  <a:pt x="171681" y="62845"/>
                </a:cubicBezTo>
                <a:cubicBezTo>
                  <a:pt x="181841" y="62527"/>
                  <a:pt x="191366" y="62527"/>
                  <a:pt x="199938" y="62527"/>
                </a:cubicBezTo>
                <a:lnTo>
                  <a:pt x="234228" y="62527"/>
                </a:lnTo>
                <a:lnTo>
                  <a:pt x="205971" y="90785"/>
                </a:lnTo>
                <a:cubicBezTo>
                  <a:pt x="203113" y="94595"/>
                  <a:pt x="203431" y="99992"/>
                  <a:pt x="206606" y="103485"/>
                </a:cubicBezTo>
                <a:cubicBezTo>
                  <a:pt x="209781" y="106977"/>
                  <a:pt x="215496" y="107295"/>
                  <a:pt x="219306" y="104120"/>
                </a:cubicBezTo>
                <a:lnTo>
                  <a:pt x="263756" y="59670"/>
                </a:lnTo>
                <a:cubicBezTo>
                  <a:pt x="264708" y="58717"/>
                  <a:pt x="265343" y="57765"/>
                  <a:pt x="265661" y="56495"/>
                </a:cubicBezTo>
                <a:cubicBezTo>
                  <a:pt x="265661" y="56177"/>
                  <a:pt x="265978" y="55860"/>
                  <a:pt x="265978" y="55542"/>
                </a:cubicBezTo>
                <a:cubicBezTo>
                  <a:pt x="265978" y="55225"/>
                  <a:pt x="265978" y="55225"/>
                  <a:pt x="266296" y="54907"/>
                </a:cubicBezTo>
                <a:cubicBezTo>
                  <a:pt x="266296" y="54590"/>
                  <a:pt x="266296" y="54272"/>
                  <a:pt x="266296" y="53955"/>
                </a:cubicBezTo>
                <a:cubicBezTo>
                  <a:pt x="266296" y="53637"/>
                  <a:pt x="266296" y="53320"/>
                  <a:pt x="266296" y="53002"/>
                </a:cubicBezTo>
                <a:cubicBezTo>
                  <a:pt x="266296" y="52685"/>
                  <a:pt x="266296" y="52685"/>
                  <a:pt x="266296" y="52367"/>
                </a:cubicBezTo>
                <a:cubicBezTo>
                  <a:pt x="265978" y="49827"/>
                  <a:pt x="265026" y="47605"/>
                  <a:pt x="263438" y="46017"/>
                </a:cubicBezTo>
                <a:close/>
              </a:path>
            </a:pathLst>
          </a:custGeom>
          <a:solidFill>
            <a:schemeClr val="bg1"/>
          </a:solidFill>
          <a:ln w="3175" cap="flat">
            <a:solidFill>
              <a:schemeClr val="bg1"/>
            </a:solidFill>
            <a:prstDash val="solid"/>
            <a:miter/>
          </a:ln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7620</xdr:rowOff>
    </xdr:from>
    <xdr:to>
      <xdr:col>1</xdr:col>
      <xdr:colOff>7620</xdr:colOff>
      <xdr:row>2</xdr:row>
      <xdr:rowOff>137160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34CDF0A1-E5AE-4AA5-87D2-ACD778F194E9}"/>
            </a:ext>
          </a:extLst>
        </xdr:cNvPr>
        <xdr:cNvSpPr/>
      </xdr:nvSpPr>
      <xdr:spPr>
        <a:xfrm>
          <a:off x="0" y="190500"/>
          <a:ext cx="1943100" cy="3124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i="1">
              <a:gradFill flip="none" rotWithShape="1">
                <a:gsLst>
                  <a:gs pos="79375">
                    <a:srgbClr val="DE70D6">
                      <a:lumMod val="64000"/>
                    </a:srgbClr>
                  </a:gs>
                  <a:gs pos="38113">
                    <a:srgbClr val="DE70D6"/>
                  </a:gs>
                  <a:gs pos="60000">
                    <a:schemeClr val="bg1">
                      <a:lumMod val="95000"/>
                    </a:schemeClr>
                  </a:gs>
                  <a:gs pos="17000">
                    <a:srgbClr val="EFBBEB"/>
                  </a:gs>
                </a:gsLst>
                <a:lin ang="2700000" scaled="1"/>
                <a:tileRect/>
              </a:gradFill>
              <a:latin typeface="Bodoni MT Black" panose="02070A03080606020203" pitchFamily="18" charset="0"/>
            </a:rPr>
            <a:t>WOLF</a:t>
          </a:r>
          <a:r>
            <a:rPr lang="pt-BR" sz="1600" b="1" i="1" baseline="0">
              <a:gradFill>
                <a:gsLst>
                  <a:gs pos="60000">
                    <a:schemeClr val="bg1">
                      <a:lumMod val="95000"/>
                    </a:schemeClr>
                  </a:gs>
                  <a:gs pos="17000">
                    <a:srgbClr val="EFBBEB"/>
                  </a:gs>
                </a:gsLst>
                <a:lin ang="5400000" scaled="1"/>
              </a:gradFill>
              <a:latin typeface="Bodoni MT Black" panose="02070A03080606020203" pitchFamily="18" charset="0"/>
            </a:rPr>
            <a:t> </a:t>
          </a:r>
          <a:r>
            <a:rPr lang="pt-BR" sz="1600" b="1" i="1" baseline="0">
              <a:gradFill flip="none" rotWithShape="1">
                <a:gsLst>
                  <a:gs pos="55000">
                    <a:srgbClr val="EFBBEB">
                      <a:lumMod val="68000"/>
                      <a:lumOff val="32000"/>
                    </a:srgbClr>
                  </a:gs>
                  <a:gs pos="84000">
                    <a:srgbClr val="DE70D6"/>
                  </a:gs>
                  <a:gs pos="0">
                    <a:srgbClr val="EFBBEB"/>
                  </a:gs>
                  <a:gs pos="20000">
                    <a:srgbClr val="DE70D6"/>
                  </a:gs>
                </a:gsLst>
                <a:lin ang="2700000" scaled="1"/>
                <a:tileRect/>
              </a:gradFill>
              <a:latin typeface="Bodoni MT Black" panose="02070A03080606020203" pitchFamily="18" charset="0"/>
            </a:rPr>
            <a:t>APP</a:t>
          </a:r>
          <a:endParaRPr lang="pt-BR" sz="1600" b="1" i="1">
            <a:gradFill flip="none" rotWithShape="1">
              <a:gsLst>
                <a:gs pos="55000">
                  <a:srgbClr val="EFBBEB">
                    <a:lumMod val="68000"/>
                    <a:lumOff val="32000"/>
                  </a:srgbClr>
                </a:gs>
                <a:gs pos="84000">
                  <a:srgbClr val="DE70D6"/>
                </a:gs>
                <a:gs pos="0">
                  <a:srgbClr val="EFBBEB"/>
                </a:gs>
                <a:gs pos="20000">
                  <a:srgbClr val="DE70D6"/>
                </a:gs>
              </a:gsLst>
              <a:lin ang="2700000" scaled="1"/>
              <a:tileRect/>
            </a:gradFill>
            <a:latin typeface="Bodoni MT Black" panose="02070A03080606020203" pitchFamily="18" charset="0"/>
          </a:endParaRPr>
        </a:p>
      </xdr:txBody>
    </xdr:sp>
    <xdr:clientData/>
  </xdr:twoCellAnchor>
  <xdr:twoCellAnchor editAs="absolute">
    <xdr:from>
      <xdr:col>0</xdr:col>
      <xdr:colOff>422910</xdr:colOff>
      <xdr:row>3</xdr:row>
      <xdr:rowOff>53340</xdr:rowOff>
    </xdr:from>
    <xdr:to>
      <xdr:col>0</xdr:col>
      <xdr:colOff>1520190</xdr:colOff>
      <xdr:row>8</xdr:row>
      <xdr:rowOff>152400</xdr:rowOff>
    </xdr:to>
    <xdr:pic>
      <xdr:nvPicPr>
        <xdr:cNvPr id="3" name="Imagem 2" descr="Wolf - Free animals icons">
          <a:extLst>
            <a:ext uri="{FF2B5EF4-FFF2-40B4-BE49-F238E27FC236}">
              <a16:creationId xmlns:a16="http://schemas.microsoft.com/office/drawing/2014/main" id="{6163DFA8-EC9A-4636-AFC0-45F91DD46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910" y="678180"/>
          <a:ext cx="1097280" cy="1097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210026</xdr:colOff>
      <xdr:row>12</xdr:row>
      <xdr:rowOff>7620</xdr:rowOff>
    </xdr:from>
    <xdr:to>
      <xdr:col>0</xdr:col>
      <xdr:colOff>1836896</xdr:colOff>
      <xdr:row>14</xdr:row>
      <xdr:rowOff>114300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87BF70-7202-4DF6-BD66-165D54E25073}"/>
            </a:ext>
          </a:extLst>
        </xdr:cNvPr>
        <xdr:cNvSpPr/>
      </xdr:nvSpPr>
      <xdr:spPr>
        <a:xfrm>
          <a:off x="210026" y="2362200"/>
          <a:ext cx="1626870" cy="472440"/>
        </a:xfrm>
        <a:prstGeom prst="roundRect">
          <a:avLst>
            <a:gd name="adj" fmla="val 45045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>
                  <a:lumMod val="9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  <a:r>
            <a:rPr lang="pt-BR" sz="1800" baseline="0">
              <a:solidFill>
                <a:schemeClr val="bg1">
                  <a:lumMod val="95000"/>
                </a:schemeClr>
              </a:solidFill>
              <a:latin typeface="Aptos Narrow" panose="020B0004020202020204" pitchFamily="34" charset="0"/>
            </a:rPr>
            <a:t> </a:t>
          </a:r>
          <a:endParaRPr lang="pt-BR" sz="1800">
            <a:solidFill>
              <a:schemeClr val="bg1">
                <a:lumMod val="9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24</xdr:row>
      <xdr:rowOff>175260</xdr:rowOff>
    </xdr:from>
    <xdr:to>
      <xdr:col>1</xdr:col>
      <xdr:colOff>0</xdr:colOff>
      <xdr:row>25</xdr:row>
      <xdr:rowOff>175260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2ECB749C-0F04-41C6-9911-71B26E65363E}"/>
            </a:ext>
          </a:extLst>
        </xdr:cNvPr>
        <xdr:cNvSpPr/>
      </xdr:nvSpPr>
      <xdr:spPr>
        <a:xfrm>
          <a:off x="0" y="4724400"/>
          <a:ext cx="1935480" cy="1828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85000"/>
                </a:schemeClr>
              </a:solidFill>
            </a:rPr>
            <a:t>Made</a:t>
          </a:r>
          <a:r>
            <a:rPr lang="pt-BR" sz="1100" baseline="0">
              <a:solidFill>
                <a:schemeClr val="bg1">
                  <a:lumMod val="85000"/>
                </a:schemeClr>
              </a:solidFill>
            </a:rPr>
            <a:t> by Mariana</a:t>
          </a:r>
          <a:r>
            <a:rPr lang="pt-BR" sz="1100">
              <a:solidFill>
                <a:schemeClr val="bg1">
                  <a:lumMod val="85000"/>
                </a:schemeClr>
              </a:solidFill>
            </a:rPr>
            <a:t>💜</a:t>
          </a:r>
        </a:p>
      </xdr:txBody>
    </xdr:sp>
    <xdr:clientData/>
  </xdr:twoCellAnchor>
  <xdr:twoCellAnchor editAs="absolute">
    <xdr:from>
      <xdr:col>0</xdr:col>
      <xdr:colOff>282893</xdr:colOff>
      <xdr:row>24</xdr:row>
      <xdr:rowOff>175260</xdr:rowOff>
    </xdr:from>
    <xdr:to>
      <xdr:col>0</xdr:col>
      <xdr:colOff>1652588</xdr:colOff>
      <xdr:row>24</xdr:row>
      <xdr:rowOff>175260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40B22854-EC01-468D-BB05-CC0E8AB0880F}"/>
            </a:ext>
          </a:extLst>
        </xdr:cNvPr>
        <xdr:cNvCxnSpPr/>
      </xdr:nvCxnSpPr>
      <xdr:spPr>
        <a:xfrm flipH="1">
          <a:off x="282893" y="4724400"/>
          <a:ext cx="1369695" cy="0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210026</xdr:colOff>
      <xdr:row>15</xdr:row>
      <xdr:rowOff>160020</xdr:rowOff>
    </xdr:from>
    <xdr:to>
      <xdr:col>0</xdr:col>
      <xdr:colOff>1836896</xdr:colOff>
      <xdr:row>18</xdr:row>
      <xdr:rowOff>83820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B46FD8B-38DB-44CD-A0A8-95CB7E033DB9}"/>
            </a:ext>
          </a:extLst>
        </xdr:cNvPr>
        <xdr:cNvSpPr/>
      </xdr:nvSpPr>
      <xdr:spPr>
        <a:xfrm>
          <a:off x="210026" y="3063240"/>
          <a:ext cx="1626870" cy="472440"/>
        </a:xfrm>
        <a:prstGeom prst="roundRect">
          <a:avLst>
            <a:gd name="adj" fmla="val 45045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>
                  <a:lumMod val="9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  <a:endParaRPr lang="pt-BR" sz="1800">
            <a:solidFill>
              <a:schemeClr val="bg1">
                <a:lumMod val="9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 editAs="absolute">
    <xdr:from>
      <xdr:col>0</xdr:col>
      <xdr:colOff>210026</xdr:colOff>
      <xdr:row>20</xdr:row>
      <xdr:rowOff>22860</xdr:rowOff>
    </xdr:from>
    <xdr:to>
      <xdr:col>0</xdr:col>
      <xdr:colOff>1836896</xdr:colOff>
      <xdr:row>22</xdr:row>
      <xdr:rowOff>129540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2764BD8-AA41-43E1-9BFC-55944BE523C1}"/>
            </a:ext>
          </a:extLst>
        </xdr:cNvPr>
        <xdr:cNvSpPr/>
      </xdr:nvSpPr>
      <xdr:spPr>
        <a:xfrm>
          <a:off x="210026" y="3840480"/>
          <a:ext cx="1626870" cy="472440"/>
        </a:xfrm>
        <a:prstGeom prst="roundRect">
          <a:avLst>
            <a:gd name="adj" fmla="val 45045"/>
          </a:avLst>
        </a:prstGeom>
        <a:gradFill flip="none" rotWithShape="1">
          <a:gsLst>
            <a:gs pos="84000">
              <a:srgbClr val="DB67D3"/>
            </a:gs>
            <a:gs pos="50000">
              <a:srgbClr val="C42EB9">
                <a:alpha val="97255"/>
              </a:srgbClr>
            </a:gs>
            <a:gs pos="16000">
              <a:srgbClr val="D54FCB">
                <a:alpha val="92157"/>
              </a:srgbClr>
            </a:gs>
          </a:gsLst>
          <a:lin ang="81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>
                  <a:lumMod val="9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  <a:endParaRPr lang="pt-BR" sz="1800">
            <a:solidFill>
              <a:schemeClr val="bg1">
                <a:lumMod val="9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4</xdr:col>
      <xdr:colOff>1343356</xdr:colOff>
      <xdr:row>4</xdr:row>
      <xdr:rowOff>11588</xdr:rowOff>
    </xdr:from>
    <xdr:to>
      <xdr:col>4</xdr:col>
      <xdr:colOff>1517500</xdr:colOff>
      <xdr:row>4</xdr:row>
      <xdr:rowOff>159986</xdr:rowOff>
    </xdr:to>
    <xdr:sp macro="" textlink="">
      <xdr:nvSpPr>
        <xdr:cNvPr id="11" name="Gráfico 13" descr="Seta de linha: curva ligeira com preenchimento sólido">
          <a:extLst>
            <a:ext uri="{FF2B5EF4-FFF2-40B4-BE49-F238E27FC236}">
              <a16:creationId xmlns:a16="http://schemas.microsoft.com/office/drawing/2014/main" id="{170AEFBA-E4F7-9B07-C026-591D35BFB6EB}"/>
            </a:ext>
          </a:extLst>
        </xdr:cNvPr>
        <xdr:cNvSpPr/>
      </xdr:nvSpPr>
      <xdr:spPr>
        <a:xfrm>
          <a:off x="7431736" y="880268"/>
          <a:ext cx="174144" cy="148398"/>
        </a:xfrm>
        <a:custGeom>
          <a:avLst/>
          <a:gdLst>
            <a:gd name="csX0" fmla="*/ 263438 w 266295"/>
            <a:gd name="csY0" fmla="*/ 46017 h 106315"/>
            <a:gd name="csX1" fmla="*/ 218988 w 266295"/>
            <a:gd name="csY1" fmla="*/ 1567 h 106315"/>
            <a:gd name="csX2" fmla="*/ 206923 w 266295"/>
            <a:gd name="csY2" fmla="*/ 2837 h 106315"/>
            <a:gd name="csX3" fmla="*/ 205653 w 266295"/>
            <a:gd name="csY3" fmla="*/ 14902 h 106315"/>
            <a:gd name="csX4" fmla="*/ 233911 w 266295"/>
            <a:gd name="csY4" fmla="*/ 43160 h 106315"/>
            <a:gd name="csX5" fmla="*/ 199938 w 266295"/>
            <a:gd name="csY5" fmla="*/ 43160 h 106315"/>
            <a:gd name="csX6" fmla="*/ 171363 w 266295"/>
            <a:gd name="csY6" fmla="*/ 43477 h 106315"/>
            <a:gd name="csX7" fmla="*/ 18328 w 266295"/>
            <a:gd name="csY7" fmla="*/ 13950 h 106315"/>
            <a:gd name="csX8" fmla="*/ 5628 w 266295"/>
            <a:gd name="csY8" fmla="*/ 9187 h 106315"/>
            <a:gd name="csX9" fmla="*/ 866 w 266295"/>
            <a:gd name="csY9" fmla="*/ 21887 h 106315"/>
            <a:gd name="csX10" fmla="*/ 137073 w 266295"/>
            <a:gd name="csY10" fmla="*/ 63162 h 106315"/>
            <a:gd name="csX11" fmla="*/ 171681 w 266295"/>
            <a:gd name="csY11" fmla="*/ 62845 h 106315"/>
            <a:gd name="csX12" fmla="*/ 199938 w 266295"/>
            <a:gd name="csY12" fmla="*/ 62527 h 106315"/>
            <a:gd name="csX13" fmla="*/ 234228 w 266295"/>
            <a:gd name="csY13" fmla="*/ 62527 h 106315"/>
            <a:gd name="csX14" fmla="*/ 205971 w 266295"/>
            <a:gd name="csY14" fmla="*/ 90785 h 106315"/>
            <a:gd name="csX15" fmla="*/ 206606 w 266295"/>
            <a:gd name="csY15" fmla="*/ 103485 h 106315"/>
            <a:gd name="csX16" fmla="*/ 219306 w 266295"/>
            <a:gd name="csY16" fmla="*/ 104120 h 106315"/>
            <a:gd name="csX17" fmla="*/ 263756 w 266295"/>
            <a:gd name="csY17" fmla="*/ 59670 h 106315"/>
            <a:gd name="csX18" fmla="*/ 265661 w 266295"/>
            <a:gd name="csY18" fmla="*/ 56495 h 106315"/>
            <a:gd name="csX19" fmla="*/ 265978 w 266295"/>
            <a:gd name="csY19" fmla="*/ 55542 h 106315"/>
            <a:gd name="csX20" fmla="*/ 266296 w 266295"/>
            <a:gd name="csY20" fmla="*/ 54907 h 106315"/>
            <a:gd name="csX21" fmla="*/ 266296 w 266295"/>
            <a:gd name="csY21" fmla="*/ 53955 h 106315"/>
            <a:gd name="csX22" fmla="*/ 266296 w 266295"/>
            <a:gd name="csY22" fmla="*/ 53002 h 106315"/>
            <a:gd name="csX23" fmla="*/ 266296 w 266295"/>
            <a:gd name="csY23" fmla="*/ 52367 h 106315"/>
            <a:gd name="csX24" fmla="*/ 263438 w 266295"/>
            <a:gd name="csY24" fmla="*/ 46017 h 10631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</a:cxnLst>
          <a:rect l="l" t="t" r="r" b="b"/>
          <a:pathLst>
            <a:path w="266295" h="106315">
              <a:moveTo>
                <a:pt x="263438" y="46017"/>
              </a:moveTo>
              <a:lnTo>
                <a:pt x="218988" y="1567"/>
              </a:lnTo>
              <a:cubicBezTo>
                <a:pt x="215178" y="-973"/>
                <a:pt x="210098" y="-338"/>
                <a:pt x="206923" y="2837"/>
              </a:cubicBezTo>
              <a:cubicBezTo>
                <a:pt x="203748" y="6012"/>
                <a:pt x="203113" y="11092"/>
                <a:pt x="205653" y="14902"/>
              </a:cubicBezTo>
              <a:lnTo>
                <a:pt x="233911" y="43160"/>
              </a:lnTo>
              <a:lnTo>
                <a:pt x="199938" y="43160"/>
              </a:lnTo>
              <a:cubicBezTo>
                <a:pt x="191048" y="43160"/>
                <a:pt x="181523" y="43477"/>
                <a:pt x="171363" y="43477"/>
              </a:cubicBezTo>
              <a:cubicBezTo>
                <a:pt x="116118" y="44430"/>
                <a:pt x="32298" y="45700"/>
                <a:pt x="18328" y="13950"/>
              </a:cubicBezTo>
              <a:cubicBezTo>
                <a:pt x="16106" y="9187"/>
                <a:pt x="10708" y="6965"/>
                <a:pt x="5628" y="9187"/>
              </a:cubicBezTo>
              <a:cubicBezTo>
                <a:pt x="866" y="11410"/>
                <a:pt x="-1357" y="16807"/>
                <a:pt x="866" y="21887"/>
              </a:cubicBezTo>
              <a:cubicBezTo>
                <a:pt x="17058" y="58082"/>
                <a:pt x="78018" y="63162"/>
                <a:pt x="137073" y="63162"/>
              </a:cubicBezTo>
              <a:cubicBezTo>
                <a:pt x="148821" y="63162"/>
                <a:pt x="160568" y="62845"/>
                <a:pt x="171681" y="62845"/>
              </a:cubicBezTo>
              <a:cubicBezTo>
                <a:pt x="181841" y="62527"/>
                <a:pt x="191366" y="62527"/>
                <a:pt x="199938" y="62527"/>
              </a:cubicBezTo>
              <a:lnTo>
                <a:pt x="234228" y="62527"/>
              </a:lnTo>
              <a:lnTo>
                <a:pt x="205971" y="90785"/>
              </a:lnTo>
              <a:cubicBezTo>
                <a:pt x="203113" y="94595"/>
                <a:pt x="203431" y="99992"/>
                <a:pt x="206606" y="103485"/>
              </a:cubicBezTo>
              <a:cubicBezTo>
                <a:pt x="209781" y="106977"/>
                <a:pt x="215496" y="107295"/>
                <a:pt x="219306" y="104120"/>
              </a:cubicBezTo>
              <a:lnTo>
                <a:pt x="263756" y="59670"/>
              </a:lnTo>
              <a:cubicBezTo>
                <a:pt x="264708" y="58717"/>
                <a:pt x="265343" y="57765"/>
                <a:pt x="265661" y="56495"/>
              </a:cubicBezTo>
              <a:cubicBezTo>
                <a:pt x="265661" y="56177"/>
                <a:pt x="265978" y="55860"/>
                <a:pt x="265978" y="55542"/>
              </a:cubicBezTo>
              <a:cubicBezTo>
                <a:pt x="265978" y="55225"/>
                <a:pt x="265978" y="55225"/>
                <a:pt x="266296" y="54907"/>
              </a:cubicBezTo>
              <a:cubicBezTo>
                <a:pt x="266296" y="54590"/>
                <a:pt x="266296" y="54272"/>
                <a:pt x="266296" y="53955"/>
              </a:cubicBezTo>
              <a:cubicBezTo>
                <a:pt x="266296" y="53637"/>
                <a:pt x="266296" y="53320"/>
                <a:pt x="266296" y="53002"/>
              </a:cubicBezTo>
              <a:cubicBezTo>
                <a:pt x="266296" y="52685"/>
                <a:pt x="266296" y="52685"/>
                <a:pt x="266296" y="52367"/>
              </a:cubicBezTo>
              <a:cubicBezTo>
                <a:pt x="265978" y="49827"/>
                <a:pt x="265026" y="47605"/>
                <a:pt x="263438" y="46017"/>
              </a:cubicBezTo>
              <a:close/>
            </a:path>
          </a:pathLst>
        </a:custGeom>
        <a:solidFill>
          <a:schemeClr val="bg1"/>
        </a:solidFill>
        <a:ln w="3175" cap="flat">
          <a:solidFill>
            <a:schemeClr val="bg1"/>
          </a:solidFill>
          <a:prstDash val="solid"/>
          <a:miter/>
        </a:ln>
      </xdr:spPr>
    </xdr:sp>
    <xdr:clientData/>
  </xdr:twoCellAnchor>
  <xdr:twoCellAnchor>
    <xdr:from>
      <xdr:col>2</xdr:col>
      <xdr:colOff>0</xdr:colOff>
      <xdr:row>4</xdr:row>
      <xdr:rowOff>84697</xdr:rowOff>
    </xdr:from>
    <xdr:to>
      <xdr:col>3</xdr:col>
      <xdr:colOff>128931</xdr:colOff>
      <xdr:row>5</xdr:row>
      <xdr:rowOff>115796</xdr:rowOff>
    </xdr:to>
    <xdr:grpSp>
      <xdr:nvGrpSpPr>
        <xdr:cNvPr id="12" name="Agrupar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F7A7641-3509-48E4-94BD-B012709366CF}"/>
            </a:ext>
          </a:extLst>
        </xdr:cNvPr>
        <xdr:cNvGrpSpPr/>
      </xdr:nvGrpSpPr>
      <xdr:grpSpPr>
        <a:xfrm>
          <a:off x="2545080" y="953377"/>
          <a:ext cx="2049171" cy="221599"/>
          <a:chOff x="2575560" y="4983485"/>
          <a:chExt cx="2796540" cy="365760"/>
        </a:xfrm>
      </xdr:grpSpPr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B8D2D5BC-66D9-9C53-DE9D-2CC33DF62CA8}"/>
              </a:ext>
            </a:extLst>
          </xdr:cNvPr>
          <xdr:cNvSpPr/>
        </xdr:nvSpPr>
        <xdr:spPr>
          <a:xfrm>
            <a:off x="2575560" y="4983485"/>
            <a:ext cx="2796540" cy="365760"/>
          </a:xfrm>
          <a:prstGeom prst="rect">
            <a:avLst/>
          </a:prstGeom>
          <a:ln/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>
                <a:latin typeface="+mj-lt"/>
              </a:rPr>
              <a:t>ANTERIOR</a:t>
            </a:r>
          </a:p>
        </xdr:txBody>
      </xdr:sp>
      <xdr:sp macro="" textlink="">
        <xdr:nvSpPr>
          <xdr:cNvPr id="14" name="Gráfico 13" descr="Seta de linha: curva ligeira com preenchimento sólido">
            <a:extLst>
              <a:ext uri="{FF2B5EF4-FFF2-40B4-BE49-F238E27FC236}">
                <a16:creationId xmlns:a16="http://schemas.microsoft.com/office/drawing/2014/main" id="{F6336BD2-E91F-A856-0A22-D540C897D62B}"/>
              </a:ext>
            </a:extLst>
          </xdr:cNvPr>
          <xdr:cNvSpPr/>
        </xdr:nvSpPr>
        <xdr:spPr>
          <a:xfrm flipH="1">
            <a:off x="2841387" y="5128260"/>
            <a:ext cx="266295" cy="106315"/>
          </a:xfrm>
          <a:custGeom>
            <a:avLst/>
            <a:gdLst>
              <a:gd name="csX0" fmla="*/ 263438 w 266295"/>
              <a:gd name="csY0" fmla="*/ 46017 h 106315"/>
              <a:gd name="csX1" fmla="*/ 218988 w 266295"/>
              <a:gd name="csY1" fmla="*/ 1567 h 106315"/>
              <a:gd name="csX2" fmla="*/ 206923 w 266295"/>
              <a:gd name="csY2" fmla="*/ 2837 h 106315"/>
              <a:gd name="csX3" fmla="*/ 205653 w 266295"/>
              <a:gd name="csY3" fmla="*/ 14902 h 106315"/>
              <a:gd name="csX4" fmla="*/ 233911 w 266295"/>
              <a:gd name="csY4" fmla="*/ 43160 h 106315"/>
              <a:gd name="csX5" fmla="*/ 199938 w 266295"/>
              <a:gd name="csY5" fmla="*/ 43160 h 106315"/>
              <a:gd name="csX6" fmla="*/ 171363 w 266295"/>
              <a:gd name="csY6" fmla="*/ 43477 h 106315"/>
              <a:gd name="csX7" fmla="*/ 18328 w 266295"/>
              <a:gd name="csY7" fmla="*/ 13950 h 106315"/>
              <a:gd name="csX8" fmla="*/ 5628 w 266295"/>
              <a:gd name="csY8" fmla="*/ 9187 h 106315"/>
              <a:gd name="csX9" fmla="*/ 866 w 266295"/>
              <a:gd name="csY9" fmla="*/ 21887 h 106315"/>
              <a:gd name="csX10" fmla="*/ 137073 w 266295"/>
              <a:gd name="csY10" fmla="*/ 63162 h 106315"/>
              <a:gd name="csX11" fmla="*/ 171681 w 266295"/>
              <a:gd name="csY11" fmla="*/ 62845 h 106315"/>
              <a:gd name="csX12" fmla="*/ 199938 w 266295"/>
              <a:gd name="csY12" fmla="*/ 62527 h 106315"/>
              <a:gd name="csX13" fmla="*/ 234228 w 266295"/>
              <a:gd name="csY13" fmla="*/ 62527 h 106315"/>
              <a:gd name="csX14" fmla="*/ 205971 w 266295"/>
              <a:gd name="csY14" fmla="*/ 90785 h 106315"/>
              <a:gd name="csX15" fmla="*/ 206606 w 266295"/>
              <a:gd name="csY15" fmla="*/ 103485 h 106315"/>
              <a:gd name="csX16" fmla="*/ 219306 w 266295"/>
              <a:gd name="csY16" fmla="*/ 104120 h 106315"/>
              <a:gd name="csX17" fmla="*/ 263756 w 266295"/>
              <a:gd name="csY17" fmla="*/ 59670 h 106315"/>
              <a:gd name="csX18" fmla="*/ 265661 w 266295"/>
              <a:gd name="csY18" fmla="*/ 56495 h 106315"/>
              <a:gd name="csX19" fmla="*/ 265978 w 266295"/>
              <a:gd name="csY19" fmla="*/ 55542 h 106315"/>
              <a:gd name="csX20" fmla="*/ 266296 w 266295"/>
              <a:gd name="csY20" fmla="*/ 54907 h 106315"/>
              <a:gd name="csX21" fmla="*/ 266296 w 266295"/>
              <a:gd name="csY21" fmla="*/ 53955 h 106315"/>
              <a:gd name="csX22" fmla="*/ 266296 w 266295"/>
              <a:gd name="csY22" fmla="*/ 53002 h 106315"/>
              <a:gd name="csX23" fmla="*/ 266296 w 266295"/>
              <a:gd name="csY23" fmla="*/ 52367 h 106315"/>
              <a:gd name="csX24" fmla="*/ 263438 w 266295"/>
              <a:gd name="csY24" fmla="*/ 46017 h 106315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  <a:cxn ang="0">
                <a:pos x="csX20" y="csY20"/>
              </a:cxn>
              <a:cxn ang="0">
                <a:pos x="csX21" y="csY21"/>
              </a:cxn>
              <a:cxn ang="0">
                <a:pos x="csX22" y="csY22"/>
              </a:cxn>
              <a:cxn ang="0">
                <a:pos x="csX23" y="csY23"/>
              </a:cxn>
              <a:cxn ang="0">
                <a:pos x="csX24" y="csY24"/>
              </a:cxn>
            </a:cxnLst>
            <a:rect l="l" t="t" r="r" b="b"/>
            <a:pathLst>
              <a:path w="266295" h="106315">
                <a:moveTo>
                  <a:pt x="263438" y="46017"/>
                </a:moveTo>
                <a:lnTo>
                  <a:pt x="218988" y="1567"/>
                </a:lnTo>
                <a:cubicBezTo>
                  <a:pt x="215178" y="-973"/>
                  <a:pt x="210098" y="-338"/>
                  <a:pt x="206923" y="2837"/>
                </a:cubicBezTo>
                <a:cubicBezTo>
                  <a:pt x="203748" y="6012"/>
                  <a:pt x="203113" y="11092"/>
                  <a:pt x="205653" y="14902"/>
                </a:cubicBezTo>
                <a:lnTo>
                  <a:pt x="233911" y="43160"/>
                </a:lnTo>
                <a:lnTo>
                  <a:pt x="199938" y="43160"/>
                </a:lnTo>
                <a:cubicBezTo>
                  <a:pt x="191048" y="43160"/>
                  <a:pt x="181523" y="43477"/>
                  <a:pt x="171363" y="43477"/>
                </a:cubicBezTo>
                <a:cubicBezTo>
                  <a:pt x="116118" y="44430"/>
                  <a:pt x="32298" y="45700"/>
                  <a:pt x="18328" y="13950"/>
                </a:cubicBezTo>
                <a:cubicBezTo>
                  <a:pt x="16106" y="9187"/>
                  <a:pt x="10708" y="6965"/>
                  <a:pt x="5628" y="9187"/>
                </a:cubicBezTo>
                <a:cubicBezTo>
                  <a:pt x="866" y="11410"/>
                  <a:pt x="-1357" y="16807"/>
                  <a:pt x="866" y="21887"/>
                </a:cubicBezTo>
                <a:cubicBezTo>
                  <a:pt x="17058" y="58082"/>
                  <a:pt x="78018" y="63162"/>
                  <a:pt x="137073" y="63162"/>
                </a:cubicBezTo>
                <a:cubicBezTo>
                  <a:pt x="148821" y="63162"/>
                  <a:pt x="160568" y="62845"/>
                  <a:pt x="171681" y="62845"/>
                </a:cubicBezTo>
                <a:cubicBezTo>
                  <a:pt x="181841" y="62527"/>
                  <a:pt x="191366" y="62527"/>
                  <a:pt x="199938" y="62527"/>
                </a:cubicBezTo>
                <a:lnTo>
                  <a:pt x="234228" y="62527"/>
                </a:lnTo>
                <a:lnTo>
                  <a:pt x="205971" y="90785"/>
                </a:lnTo>
                <a:cubicBezTo>
                  <a:pt x="203113" y="94595"/>
                  <a:pt x="203431" y="99992"/>
                  <a:pt x="206606" y="103485"/>
                </a:cubicBezTo>
                <a:cubicBezTo>
                  <a:pt x="209781" y="106977"/>
                  <a:pt x="215496" y="107295"/>
                  <a:pt x="219306" y="104120"/>
                </a:cubicBezTo>
                <a:lnTo>
                  <a:pt x="263756" y="59670"/>
                </a:lnTo>
                <a:cubicBezTo>
                  <a:pt x="264708" y="58717"/>
                  <a:pt x="265343" y="57765"/>
                  <a:pt x="265661" y="56495"/>
                </a:cubicBezTo>
                <a:cubicBezTo>
                  <a:pt x="265661" y="56177"/>
                  <a:pt x="265978" y="55860"/>
                  <a:pt x="265978" y="55542"/>
                </a:cubicBezTo>
                <a:cubicBezTo>
                  <a:pt x="265978" y="55225"/>
                  <a:pt x="265978" y="55225"/>
                  <a:pt x="266296" y="54907"/>
                </a:cubicBezTo>
                <a:cubicBezTo>
                  <a:pt x="266296" y="54590"/>
                  <a:pt x="266296" y="54272"/>
                  <a:pt x="266296" y="53955"/>
                </a:cubicBezTo>
                <a:cubicBezTo>
                  <a:pt x="266296" y="53637"/>
                  <a:pt x="266296" y="53320"/>
                  <a:pt x="266296" y="53002"/>
                </a:cubicBezTo>
                <a:cubicBezTo>
                  <a:pt x="266296" y="52685"/>
                  <a:pt x="266296" y="52685"/>
                  <a:pt x="266296" y="52367"/>
                </a:cubicBezTo>
                <a:cubicBezTo>
                  <a:pt x="265978" y="49827"/>
                  <a:pt x="265026" y="47605"/>
                  <a:pt x="263438" y="46017"/>
                </a:cubicBezTo>
                <a:close/>
              </a:path>
            </a:pathLst>
          </a:custGeom>
          <a:solidFill>
            <a:schemeClr val="bg1"/>
          </a:solidFill>
          <a:ln w="3175" cap="flat">
            <a:solidFill>
              <a:schemeClr val="bg1"/>
            </a:solidFill>
            <a:prstDash val="solid"/>
            <a:miter/>
          </a:ln>
        </xdr:spPr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6F167F-E907-42C4-AF56-04E5BA0ACDD7}" name="Tabela5" displayName="Tabela5" ref="C8:E30" totalsRowShown="0" headerRowDxfId="6" dataDxfId="5">
  <autoFilter ref="C8:E30" xr:uid="{126F167F-E907-42C4-AF56-04E5BA0ACDD7}"/>
  <tableColumns count="3">
    <tableColumn id="1" xr3:uid="{284DE5B2-58D4-466C-9376-25C5DF806AAF}" name="DATA" dataDxfId="4"/>
    <tableColumn id="2" xr3:uid="{B631F867-B837-40C9-9FA5-DAAF28509B02}" name="CATEGORIA" dataDxfId="3"/>
    <tableColumn id="3" xr3:uid="{8A9D6883-6D47-4E9A-9042-8A308DA13EA8}" name="VALOR" dataDxfId="2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17ADAA-949D-4EAB-A207-974F65DC6482}" name="Tabela1" displayName="Tabela1" ref="E1:F2" totalsRowShown="0">
  <tableColumns count="2">
    <tableColumn id="1" xr3:uid="{ED2F77F5-03CA-4C65-9ABD-FC60643A5745}" name="Data Atual" dataDxfId="1">
      <calculatedColumnFormula>TODAY()</calculatedColumnFormula>
    </tableColumn>
    <tableColumn id="2" xr3:uid="{EEB95060-1618-4D44-A55B-11D0FEA53553}" name="Data Praz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iana.g@gmail.com?subject=Oi,%20precisamos%20falar%20da%20sua%20declara&#231;&#227;o!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47E23-CC21-4575-8E5B-E9A5286C492A}">
  <sheetPr codeName="Planilha1"/>
  <dimension ref="A3:H19"/>
  <sheetViews>
    <sheetView showGridLines="0" showRowColHeaders="0" workbookViewId="0">
      <selection activeCell="D6" sqref="D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28.21875" style="1" customWidth="1"/>
    <col min="3" max="3" width="41.21875" bestFit="1" customWidth="1"/>
    <col min="4" max="4" width="40.77734375" customWidth="1"/>
    <col min="7" max="7" width="16.109375" customWidth="1"/>
    <col min="8" max="8" width="15" customWidth="1"/>
  </cols>
  <sheetData>
    <row r="3" spans="3:8" ht="20.399999999999999" customHeight="1" thickBot="1" x14ac:dyDescent="0.45">
      <c r="C3" s="3" t="s">
        <v>20</v>
      </c>
      <c r="D3" s="3"/>
    </row>
    <row r="4" spans="3:8" ht="19.2" customHeight="1" thickTop="1" x14ac:dyDescent="0.3">
      <c r="C4" s="21" t="s">
        <v>14</v>
      </c>
      <c r="D4" s="21"/>
      <c r="G4" s="26" t="s">
        <v>93</v>
      </c>
      <c r="H4" s="27"/>
    </row>
    <row r="5" spans="3:8" ht="15" thickBot="1" x14ac:dyDescent="0.35">
      <c r="G5" s="19" cm="1">
        <f t="array" aca="1" ref="G5" ca="1">DATEDIF(Tabela1[Data Atual],Tabela1[Data Prazo],"D")</f>
        <v>86</v>
      </c>
      <c r="H5" s="20" t="s">
        <v>94</v>
      </c>
    </row>
    <row r="6" spans="3:8" ht="15" thickBot="1" x14ac:dyDescent="0.35">
      <c r="C6" s="2" t="s">
        <v>0</v>
      </c>
      <c r="D6" s="6" t="s">
        <v>89</v>
      </c>
    </row>
    <row r="7" spans="3:8" ht="15" thickBot="1" x14ac:dyDescent="0.35">
      <c r="C7" s="2" t="s">
        <v>1</v>
      </c>
      <c r="D7" s="7">
        <v>33333333333</v>
      </c>
    </row>
    <row r="8" spans="3:8" ht="15" thickBot="1" x14ac:dyDescent="0.35">
      <c r="C8" s="2" t="s">
        <v>2</v>
      </c>
      <c r="D8" s="8">
        <v>25070</v>
      </c>
    </row>
    <row r="9" spans="3:8" ht="15" thickBot="1" x14ac:dyDescent="0.35">
      <c r="C9" s="2" t="s">
        <v>3</v>
      </c>
      <c r="D9" s="6">
        <v>31413158</v>
      </c>
    </row>
    <row r="10" spans="3:8" ht="15" thickBot="1" x14ac:dyDescent="0.35">
      <c r="C10" s="2" t="s">
        <v>4</v>
      </c>
      <c r="D10" s="6" t="s">
        <v>18</v>
      </c>
    </row>
    <row r="11" spans="3:8" ht="15" thickBot="1" x14ac:dyDescent="0.35">
      <c r="C11" s="2" t="s">
        <v>5</v>
      </c>
      <c r="D11" s="6" t="s">
        <v>90</v>
      </c>
    </row>
    <row r="12" spans="3:8" ht="15" thickBot="1" x14ac:dyDescent="0.35">
      <c r="C12" s="2" t="s">
        <v>6</v>
      </c>
      <c r="D12" s="6" t="s">
        <v>17</v>
      </c>
    </row>
    <row r="13" spans="3:8" ht="15" thickBot="1" x14ac:dyDescent="0.35">
      <c r="C13" s="2" t="s">
        <v>7</v>
      </c>
      <c r="D13" s="9">
        <v>4551060</v>
      </c>
    </row>
    <row r="14" spans="3:8" ht="15" thickBot="1" x14ac:dyDescent="0.35">
      <c r="C14" s="2" t="s">
        <v>8</v>
      </c>
      <c r="D14" s="10">
        <v>1134500000</v>
      </c>
    </row>
    <row r="15" spans="3:8" ht="15" thickBot="1" x14ac:dyDescent="0.35">
      <c r="C15" s="2" t="s">
        <v>9</v>
      </c>
      <c r="D15" s="11">
        <v>11939515349</v>
      </c>
    </row>
    <row r="16" spans="3:8" ht="15" thickBot="1" x14ac:dyDescent="0.35">
      <c r="C16" s="2" t="s">
        <v>10</v>
      </c>
      <c r="D16" s="12" t="s">
        <v>19</v>
      </c>
    </row>
    <row r="17" spans="3:4" ht="15" thickBot="1" x14ac:dyDescent="0.35">
      <c r="C17" s="2" t="s">
        <v>13</v>
      </c>
      <c r="D17" s="6" t="s">
        <v>15</v>
      </c>
    </row>
    <row r="18" spans="3:4" ht="15" thickBot="1" x14ac:dyDescent="0.35">
      <c r="C18" s="2" t="s">
        <v>11</v>
      </c>
      <c r="D18" s="6" t="s">
        <v>16</v>
      </c>
    </row>
    <row r="19" spans="3:4" ht="15" thickBot="1" x14ac:dyDescent="0.35">
      <c r="C19" s="2" t="s">
        <v>12</v>
      </c>
      <c r="D19" s="6" t="s">
        <v>16</v>
      </c>
    </row>
  </sheetData>
  <sheetProtection sheet="1" selectLockedCells="1"/>
  <mergeCells count="2">
    <mergeCell ref="C4:D4"/>
    <mergeCell ref="G4:H4"/>
  </mergeCells>
  <dataValidations count="1">
    <dataValidation type="list" allowBlank="1" showInputMessage="1" showErrorMessage="1" sqref="D17:D19" xr:uid="{D1877E70-977F-4BAD-A9B5-4346A674994B}">
      <formula1>"SIM,NÃO"</formula1>
    </dataValidation>
  </dataValidations>
  <hyperlinks>
    <hyperlink ref="D16" r:id="rId1" xr:uid="{9C68BA3F-5FC6-4717-8832-8CE1123B5839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DE9B6-EF07-4F0F-A855-59F06D7E1753}">
  <sheetPr codeName="Planilha2"/>
  <dimension ref="A3:H25"/>
  <sheetViews>
    <sheetView showGridLines="0" showRowColHeaders="0" workbookViewId="0">
      <selection activeCell="D11" sqref="D11"/>
    </sheetView>
  </sheetViews>
  <sheetFormatPr defaultRowHeight="14.4" x14ac:dyDescent="0.3"/>
  <cols>
    <col min="1" max="1" width="28.21875" style="1" customWidth="1"/>
    <col min="3" max="3" width="41.21875" customWidth="1"/>
    <col min="4" max="4" width="40.77734375" customWidth="1"/>
    <col min="7" max="7" width="16.109375" customWidth="1"/>
    <col min="8" max="8" width="15" customWidth="1"/>
  </cols>
  <sheetData>
    <row r="3" spans="3:8" ht="20.399999999999999" customHeight="1" thickBot="1" x14ac:dyDescent="0.45">
      <c r="C3" s="3" t="s">
        <v>82</v>
      </c>
      <c r="D3" s="3"/>
    </row>
    <row r="4" spans="3:8" ht="19.2" customHeight="1" thickTop="1" x14ac:dyDescent="0.3">
      <c r="C4" s="21" t="s">
        <v>21</v>
      </c>
      <c r="D4" s="21"/>
      <c r="G4" s="24" t="s">
        <v>93</v>
      </c>
      <c r="H4" s="25"/>
    </row>
    <row r="5" spans="3:8" ht="15" thickBot="1" x14ac:dyDescent="0.35">
      <c r="G5" s="19" cm="1">
        <f t="array" aca="1" ref="G5" ca="1">DATEDIF(Tabela1[Data Atual],Tabela1[Data Prazo],"D")</f>
        <v>86</v>
      </c>
      <c r="H5" s="20" t="s">
        <v>94</v>
      </c>
    </row>
    <row r="7" spans="3:8" x14ac:dyDescent="0.3">
      <c r="C7" t="s">
        <v>78</v>
      </c>
    </row>
    <row r="8" spans="3:8" x14ac:dyDescent="0.3">
      <c r="C8" s="28">
        <f>SUM(D12,D18,D24)</f>
        <v>15277646669</v>
      </c>
      <c r="D8" s="29"/>
    </row>
    <row r="10" spans="3:8" ht="15" thickBot="1" x14ac:dyDescent="0.35">
      <c r="C10" s="5" t="s">
        <v>79</v>
      </c>
    </row>
    <row r="11" spans="3:8" ht="15" thickBot="1" x14ac:dyDescent="0.35">
      <c r="C11" s="2" t="s">
        <v>22</v>
      </c>
      <c r="D11" s="6" t="s">
        <v>28</v>
      </c>
    </row>
    <row r="12" spans="3:8" ht="15" thickBot="1" x14ac:dyDescent="0.35">
      <c r="C12" s="2" t="s">
        <v>24</v>
      </c>
      <c r="D12" s="16">
        <v>12000000</v>
      </c>
    </row>
    <row r="13" spans="3:8" ht="15" thickBot="1" x14ac:dyDescent="0.35">
      <c r="C13" s="2" t="s">
        <v>25</v>
      </c>
      <c r="D13" s="6" t="s">
        <v>77</v>
      </c>
    </row>
    <row r="16" spans="3:8" ht="15" thickBot="1" x14ac:dyDescent="0.35">
      <c r="C16" s="5" t="s">
        <v>80</v>
      </c>
    </row>
    <row r="17" spans="3:4" ht="15" thickBot="1" x14ac:dyDescent="0.35">
      <c r="C17" s="2" t="s">
        <v>22</v>
      </c>
      <c r="D17" s="6" t="s">
        <v>34</v>
      </c>
    </row>
    <row r="18" spans="3:4" ht="15" thickBot="1" x14ac:dyDescent="0.35">
      <c r="C18" s="2" t="s">
        <v>24</v>
      </c>
      <c r="D18" s="16">
        <v>15000000004</v>
      </c>
    </row>
    <row r="19" spans="3:4" ht="15" thickBot="1" x14ac:dyDescent="0.35">
      <c r="C19" s="2" t="s">
        <v>25</v>
      </c>
      <c r="D19" s="6" t="s">
        <v>77</v>
      </c>
    </row>
    <row r="22" spans="3:4" ht="15" thickBot="1" x14ac:dyDescent="0.35">
      <c r="C22" s="5" t="s">
        <v>81</v>
      </c>
    </row>
    <row r="23" spans="3:4" ht="15" thickBot="1" x14ac:dyDescent="0.35">
      <c r="C23" s="2" t="s">
        <v>22</v>
      </c>
      <c r="D23" s="6" t="s">
        <v>36</v>
      </c>
    </row>
    <row r="24" spans="3:4" ht="15" thickBot="1" x14ac:dyDescent="0.35">
      <c r="C24" s="2" t="s">
        <v>24</v>
      </c>
      <c r="D24" s="16">
        <v>265646665</v>
      </c>
    </row>
    <row r="25" spans="3:4" ht="15" thickBot="1" x14ac:dyDescent="0.35">
      <c r="C25" s="2" t="s">
        <v>25</v>
      </c>
      <c r="D25" s="6" t="s">
        <v>77</v>
      </c>
    </row>
  </sheetData>
  <sheetProtection sheet="1" selectLockedCells="1"/>
  <mergeCells count="3">
    <mergeCell ref="C8:D8"/>
    <mergeCell ref="C4:D4"/>
    <mergeCell ref="G4:H4"/>
  </mergeCells>
  <dataValidations count="1">
    <dataValidation type="decimal" operator="greaterThanOrEqual" allowBlank="1" showInputMessage="1" showErrorMessage="1" errorTitle="Valor não aceito" error="Por favor insira um valor válido" promptTitle="Valor Atual" prompt="Insira o valor atual do banco correspondente" sqref="D12 D18 D24" xr:uid="{3800C2BE-96F0-4E50-97B4-00D8E00B34C6}">
      <formula1>0.000000000000001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Por favor, escolha um banco da lista" promptTitle="Informe um banco" prompt="Informe um banco vinculado ao seu CPF" xr:uid="{FD052D67-0C31-4B1E-95AB-3680B9E38E3F}">
          <x14:formula1>
            <xm:f>TABELAS!$A$2:$A$51</xm:f>
          </x14:formula1>
          <xm:sqref>D11 D17 D23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CE50-1C16-4AC0-8A38-686A295AF1EA}">
  <sheetPr codeName="Planilha3"/>
  <dimension ref="A3:I30"/>
  <sheetViews>
    <sheetView showGridLines="0" showRowColHeaders="0" tabSelected="1" workbookViewId="0">
      <selection activeCell="E18" sqref="E1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28.21875" style="1" customWidth="1"/>
    <col min="3" max="3" width="28" customWidth="1"/>
    <col min="4" max="4" width="23.6640625" customWidth="1"/>
    <col min="5" max="5" width="24.6640625" customWidth="1"/>
    <col min="8" max="8" width="16.109375" customWidth="1"/>
    <col min="9" max="9" width="15" customWidth="1"/>
  </cols>
  <sheetData>
    <row r="3" spans="3:9" ht="20.399999999999999" customHeight="1" thickBot="1" x14ac:dyDescent="0.45">
      <c r="C3" s="3" t="s">
        <v>88</v>
      </c>
      <c r="D3" s="3"/>
      <c r="E3" s="3"/>
    </row>
    <row r="4" spans="3:9" ht="19.2" customHeight="1" thickTop="1" x14ac:dyDescent="0.3">
      <c r="C4" s="21" t="s">
        <v>83</v>
      </c>
      <c r="D4" s="21"/>
      <c r="E4" s="21"/>
      <c r="H4" s="24" t="s">
        <v>93</v>
      </c>
      <c r="I4" s="25"/>
    </row>
    <row r="5" spans="3:9" ht="15" thickBot="1" x14ac:dyDescent="0.35">
      <c r="H5" s="19" cm="1">
        <f t="array" aca="1" ref="H5" ca="1">DATEDIF(Tabela1[Data Atual],Tabela1[Data Prazo],"D")</f>
        <v>86</v>
      </c>
      <c r="I5" s="20" t="s">
        <v>94</v>
      </c>
    </row>
    <row r="7" spans="3:9" ht="15.6" x14ac:dyDescent="0.3">
      <c r="C7" s="22" t="s">
        <v>86</v>
      </c>
      <c r="D7" s="23"/>
      <c r="E7" s="23"/>
    </row>
    <row r="8" spans="3:9" x14ac:dyDescent="0.3">
      <c r="C8" s="17" t="s">
        <v>84</v>
      </c>
      <c r="D8" s="17" t="s">
        <v>85</v>
      </c>
      <c r="E8" s="17" t="s">
        <v>23</v>
      </c>
    </row>
    <row r="9" spans="3:9" x14ac:dyDescent="0.3">
      <c r="C9" s="13">
        <v>46063</v>
      </c>
      <c r="D9" s="14" t="s">
        <v>87</v>
      </c>
      <c r="E9" s="15">
        <v>3000</v>
      </c>
    </row>
    <row r="10" spans="3:9" x14ac:dyDescent="0.3">
      <c r="C10" s="13"/>
      <c r="D10" s="14"/>
      <c r="E10" s="15"/>
    </row>
    <row r="11" spans="3:9" x14ac:dyDescent="0.3">
      <c r="C11" s="13"/>
      <c r="D11" s="14"/>
      <c r="E11" s="15"/>
    </row>
    <row r="12" spans="3:9" x14ac:dyDescent="0.3">
      <c r="C12" s="13"/>
      <c r="D12" s="14"/>
      <c r="E12" s="15"/>
    </row>
    <row r="13" spans="3:9" x14ac:dyDescent="0.3">
      <c r="C13" s="13"/>
      <c r="D13" s="14"/>
      <c r="E13" s="15"/>
    </row>
    <row r="14" spans="3:9" x14ac:dyDescent="0.3">
      <c r="C14" s="13"/>
      <c r="D14" s="14"/>
      <c r="E14" s="15"/>
    </row>
    <row r="15" spans="3:9" x14ac:dyDescent="0.3">
      <c r="C15" s="13"/>
      <c r="D15" s="14"/>
      <c r="E15" s="15"/>
    </row>
    <row r="16" spans="3:9" x14ac:dyDescent="0.3">
      <c r="C16" s="13"/>
      <c r="D16" s="14"/>
      <c r="E16" s="15"/>
    </row>
    <row r="17" spans="3:5" x14ac:dyDescent="0.3">
      <c r="C17" s="13"/>
      <c r="D17" s="14"/>
      <c r="E17" s="15"/>
    </row>
    <row r="18" spans="3:5" x14ac:dyDescent="0.3">
      <c r="C18" s="13"/>
      <c r="D18" s="14"/>
      <c r="E18" s="15"/>
    </row>
    <row r="19" spans="3:5" x14ac:dyDescent="0.3">
      <c r="C19" s="13"/>
      <c r="D19" s="14"/>
      <c r="E19" s="15"/>
    </row>
    <row r="20" spans="3:5" x14ac:dyDescent="0.3">
      <c r="C20" s="13"/>
      <c r="D20" s="14"/>
      <c r="E20" s="15"/>
    </row>
    <row r="21" spans="3:5" x14ac:dyDescent="0.3">
      <c r="C21" s="13"/>
      <c r="D21" s="14"/>
      <c r="E21" s="15"/>
    </row>
    <row r="22" spans="3:5" x14ac:dyDescent="0.3">
      <c r="C22" s="14"/>
      <c r="D22" s="14"/>
      <c r="E22" s="15"/>
    </row>
    <row r="23" spans="3:5" x14ac:dyDescent="0.3">
      <c r="C23" s="14"/>
      <c r="D23" s="14"/>
      <c r="E23" s="15"/>
    </row>
    <row r="24" spans="3:5" x14ac:dyDescent="0.3">
      <c r="C24" s="14"/>
      <c r="D24" s="14"/>
      <c r="E24" s="15"/>
    </row>
    <row r="25" spans="3:5" x14ac:dyDescent="0.3">
      <c r="C25" s="14"/>
      <c r="D25" s="14"/>
      <c r="E25" s="15"/>
    </row>
    <row r="26" spans="3:5" x14ac:dyDescent="0.3">
      <c r="C26" s="14"/>
      <c r="D26" s="14"/>
      <c r="E26" s="15"/>
    </row>
    <row r="27" spans="3:5" x14ac:dyDescent="0.3">
      <c r="C27" s="14"/>
      <c r="D27" s="14"/>
      <c r="E27" s="15"/>
    </row>
    <row r="28" spans="3:5" x14ac:dyDescent="0.3">
      <c r="C28" s="14"/>
      <c r="D28" s="14"/>
      <c r="E28" s="15"/>
    </row>
    <row r="29" spans="3:5" x14ac:dyDescent="0.3">
      <c r="C29" s="14"/>
      <c r="D29" s="14"/>
      <c r="E29" s="15"/>
    </row>
    <row r="30" spans="3:5" x14ac:dyDescent="0.3">
      <c r="C30" s="14"/>
      <c r="D30" s="14"/>
      <c r="E30" s="15"/>
    </row>
  </sheetData>
  <sheetProtection sheet="1" selectLockedCells="1"/>
  <mergeCells count="3">
    <mergeCell ref="C4:E4"/>
    <mergeCell ref="C7:E7"/>
    <mergeCell ref="H4:I4"/>
  </mergeCells>
  <dataValidations count="2">
    <dataValidation type="list" allowBlank="1" showInputMessage="1" showErrorMessage="1" sqref="D9:D30" xr:uid="{3C0E9B3B-6040-481F-93DF-417AA5427A28}">
      <formula1>"Holerite,CNPJ,Free-lancer"</formula1>
    </dataValidation>
    <dataValidation type="decimal" operator="greaterThan" allowBlank="1" showInputMessage="1" showErrorMessage="1" errorTitle="Valor errado" error="Por favor insira um valor válido" sqref="E9:E30" xr:uid="{829C8E85-5831-46C3-A310-F77C1CBEC32D}">
      <formula1>1E-22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7D366-D4D8-4374-906C-B5E2670DE727}">
  <dimension ref="A1:F51"/>
  <sheetViews>
    <sheetView showGridLines="0" workbookViewId="0">
      <selection activeCell="F3" sqref="F3"/>
    </sheetView>
  </sheetViews>
  <sheetFormatPr defaultRowHeight="14.4" x14ac:dyDescent="0.3"/>
  <cols>
    <col min="1" max="1" width="34.88671875" bestFit="1" customWidth="1"/>
    <col min="5" max="5" width="11.44140625" customWidth="1"/>
    <col min="6" max="6" width="11.77734375" customWidth="1"/>
  </cols>
  <sheetData>
    <row r="1" spans="1:6" x14ac:dyDescent="0.3">
      <c r="A1" s="4" t="s">
        <v>76</v>
      </c>
      <c r="E1" t="s">
        <v>91</v>
      </c>
      <c r="F1" t="s">
        <v>92</v>
      </c>
    </row>
    <row r="2" spans="1:6" x14ac:dyDescent="0.3">
      <c r="A2" t="s">
        <v>26</v>
      </c>
      <c r="E2" s="18">
        <f ca="1">TODAY()</f>
        <v>46066</v>
      </c>
      <c r="F2" s="18">
        <v>46152</v>
      </c>
    </row>
    <row r="3" spans="1:6" x14ac:dyDescent="0.3">
      <c r="A3" t="s">
        <v>27</v>
      </c>
    </row>
    <row r="4" spans="1:6" x14ac:dyDescent="0.3">
      <c r="A4" t="s">
        <v>28</v>
      </c>
    </row>
    <row r="5" spans="1:6" x14ac:dyDescent="0.3">
      <c r="A5" t="s">
        <v>29</v>
      </c>
    </row>
    <row r="6" spans="1:6" x14ac:dyDescent="0.3">
      <c r="A6" t="s">
        <v>30</v>
      </c>
    </row>
    <row r="7" spans="1:6" x14ac:dyDescent="0.3">
      <c r="A7" t="s">
        <v>31</v>
      </c>
    </row>
    <row r="8" spans="1:6" x14ac:dyDescent="0.3">
      <c r="A8" t="s">
        <v>32</v>
      </c>
    </row>
    <row r="9" spans="1:6" x14ac:dyDescent="0.3">
      <c r="A9" t="s">
        <v>33</v>
      </c>
    </row>
    <row r="10" spans="1:6" x14ac:dyDescent="0.3">
      <c r="A10" t="s">
        <v>34</v>
      </c>
    </row>
    <row r="11" spans="1:6" x14ac:dyDescent="0.3">
      <c r="A11" t="s">
        <v>35</v>
      </c>
    </row>
    <row r="12" spans="1:6" x14ac:dyDescent="0.3">
      <c r="A12" t="s">
        <v>36</v>
      </c>
    </row>
    <row r="13" spans="1:6" x14ac:dyDescent="0.3">
      <c r="A13" t="s">
        <v>37</v>
      </c>
    </row>
    <row r="14" spans="1:6" x14ac:dyDescent="0.3">
      <c r="A14" t="s">
        <v>38</v>
      </c>
    </row>
    <row r="15" spans="1:6" x14ac:dyDescent="0.3">
      <c r="A15" t="s">
        <v>39</v>
      </c>
    </row>
    <row r="16" spans="1:6" x14ac:dyDescent="0.3">
      <c r="A16" t="s">
        <v>40</v>
      </c>
    </row>
    <row r="17" spans="1:1" x14ac:dyDescent="0.3">
      <c r="A17" t="s">
        <v>41</v>
      </c>
    </row>
    <row r="18" spans="1:1" x14ac:dyDescent="0.3">
      <c r="A18" t="s">
        <v>42</v>
      </c>
    </row>
    <row r="19" spans="1:1" x14ac:dyDescent="0.3">
      <c r="A19" t="s">
        <v>43</v>
      </c>
    </row>
    <row r="20" spans="1:1" x14ac:dyDescent="0.3">
      <c r="A20" t="s">
        <v>44</v>
      </c>
    </row>
    <row r="21" spans="1:1" x14ac:dyDescent="0.3">
      <c r="A21" t="s">
        <v>45</v>
      </c>
    </row>
    <row r="22" spans="1:1" x14ac:dyDescent="0.3">
      <c r="A22" t="s">
        <v>46</v>
      </c>
    </row>
    <row r="23" spans="1:1" x14ac:dyDescent="0.3">
      <c r="A23" t="s">
        <v>47</v>
      </c>
    </row>
    <row r="24" spans="1:1" x14ac:dyDescent="0.3">
      <c r="A24" t="s">
        <v>48</v>
      </c>
    </row>
    <row r="25" spans="1:1" x14ac:dyDescent="0.3">
      <c r="A25" t="s">
        <v>49</v>
      </c>
    </row>
    <row r="26" spans="1:1" x14ac:dyDescent="0.3">
      <c r="A26" t="s">
        <v>50</v>
      </c>
    </row>
    <row r="27" spans="1:1" x14ac:dyDescent="0.3">
      <c r="A27" t="s">
        <v>51</v>
      </c>
    </row>
    <row r="28" spans="1:1" x14ac:dyDescent="0.3">
      <c r="A28" t="s">
        <v>52</v>
      </c>
    </row>
    <row r="29" spans="1:1" x14ac:dyDescent="0.3">
      <c r="A29" t="s">
        <v>53</v>
      </c>
    </row>
    <row r="30" spans="1:1" x14ac:dyDescent="0.3">
      <c r="A30" t="s">
        <v>54</v>
      </c>
    </row>
    <row r="31" spans="1:1" x14ac:dyDescent="0.3">
      <c r="A31" t="s">
        <v>55</v>
      </c>
    </row>
    <row r="32" spans="1:1" x14ac:dyDescent="0.3">
      <c r="A32" t="s">
        <v>56</v>
      </c>
    </row>
    <row r="33" spans="1:1" x14ac:dyDescent="0.3">
      <c r="A33" t="s">
        <v>57</v>
      </c>
    </row>
    <row r="34" spans="1:1" x14ac:dyDescent="0.3">
      <c r="A34" t="s">
        <v>58</v>
      </c>
    </row>
    <row r="35" spans="1:1" x14ac:dyDescent="0.3">
      <c r="A35" t="s">
        <v>59</v>
      </c>
    </row>
    <row r="36" spans="1:1" x14ac:dyDescent="0.3">
      <c r="A36" t="s">
        <v>60</v>
      </c>
    </row>
    <row r="37" spans="1:1" x14ac:dyDescent="0.3">
      <c r="A37" t="s">
        <v>61</v>
      </c>
    </row>
    <row r="38" spans="1:1" x14ac:dyDescent="0.3">
      <c r="A38" t="s">
        <v>62</v>
      </c>
    </row>
    <row r="39" spans="1:1" x14ac:dyDescent="0.3">
      <c r="A39" t="s">
        <v>63</v>
      </c>
    </row>
    <row r="40" spans="1:1" x14ac:dyDescent="0.3">
      <c r="A40" t="s">
        <v>64</v>
      </c>
    </row>
    <row r="41" spans="1:1" x14ac:dyDescent="0.3">
      <c r="A41" t="s">
        <v>65</v>
      </c>
    </row>
    <row r="42" spans="1:1" x14ac:dyDescent="0.3">
      <c r="A42" t="s">
        <v>66</v>
      </c>
    </row>
    <row r="43" spans="1:1" x14ac:dyDescent="0.3">
      <c r="A43" t="s">
        <v>67</v>
      </c>
    </row>
    <row r="44" spans="1:1" x14ac:dyDescent="0.3">
      <c r="A44" t="s">
        <v>68</v>
      </c>
    </row>
    <row r="45" spans="1:1" x14ac:dyDescent="0.3">
      <c r="A45" t="s">
        <v>69</v>
      </c>
    </row>
    <row r="46" spans="1:1" x14ac:dyDescent="0.3">
      <c r="A46" t="s">
        <v>70</v>
      </c>
    </row>
    <row r="47" spans="1:1" x14ac:dyDescent="0.3">
      <c r="A47" t="s">
        <v>71</v>
      </c>
    </row>
    <row r="48" spans="1:1" x14ac:dyDescent="0.3">
      <c r="A48" t="s">
        <v>72</v>
      </c>
    </row>
    <row r="49" spans="1:1" x14ac:dyDescent="0.3">
      <c r="A49" t="s">
        <v>73</v>
      </c>
    </row>
    <row r="50" spans="1:1" x14ac:dyDescent="0.3">
      <c r="A50" t="s">
        <v>74</v>
      </c>
    </row>
    <row r="51" spans="1:1" x14ac:dyDescent="0.3">
      <c r="A51" t="s">
        <v>75</v>
      </c>
    </row>
  </sheetData>
  <sheetProtection sheet="1" objects="1" scenarios="1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Gomez</dc:creator>
  <cp:lastModifiedBy>Mariana Cervera Gómez</cp:lastModifiedBy>
  <dcterms:created xsi:type="dcterms:W3CDTF">2026-02-10T15:36:57Z</dcterms:created>
  <dcterms:modified xsi:type="dcterms:W3CDTF">2026-02-13T23:25:13Z</dcterms:modified>
</cp:coreProperties>
</file>